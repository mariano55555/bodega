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\Downloads\"/>
    </mc:Choice>
  </mc:AlternateContent>
  <xr:revisionPtr revIDLastSave="0" documentId="13_ncr:1_{8B71F7E7-B808-49BD-8193-48D8625E20C5}" xr6:coauthVersionLast="47" xr6:coauthVersionMax="47" xr10:uidLastSave="{00000000-0000-0000-0000-000000000000}"/>
  <bookViews>
    <workbookView xWindow="-108" yWindow="-108" windowWidth="30936" windowHeight="16776" xr2:uid="{9CE69EF6-57A4-4D9E-8B99-78EAFB7CB333}"/>
  </bookViews>
  <sheets>
    <sheet name="Bodega Gene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73" i="1" l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" i="1"/>
  <c r="P273" i="1" l="1"/>
</calcChain>
</file>

<file path=xl/sharedStrings.xml><?xml version="1.0" encoding="utf-8"?>
<sst xmlns="http://schemas.openxmlformats.org/spreadsheetml/2006/main" count="828" uniqueCount="314">
  <si>
    <t>Nombre del producto</t>
  </si>
  <si>
    <t>codigo de barras</t>
  </si>
  <si>
    <t>descripcion</t>
  </si>
  <si>
    <t>categoria</t>
  </si>
  <si>
    <t>subcategoria</t>
  </si>
  <si>
    <t>unidad de medida</t>
  </si>
  <si>
    <t>stock minimo</t>
  </si>
  <si>
    <t>stock maximo</t>
  </si>
  <si>
    <t>existencia inicial</t>
  </si>
  <si>
    <t>PUERTA DE MADERA 6 TABLEROS (CON MOCHETA</t>
  </si>
  <si>
    <t>FIBROLIT PARA INTERPERIE DE 6MM 4X8</t>
  </si>
  <si>
    <t>FRANELA</t>
  </si>
  <si>
    <t>TRAPEADOR DE TOALLA DOBLE RESISTENTE</t>
  </si>
  <si>
    <t>WAIPER (TRAPO PARA LIMPIAR)</t>
  </si>
  <si>
    <t>FAJA DE PROTECCIÓN LUMBAR TALLA M</t>
  </si>
  <si>
    <t>ACTA DE DEFUNCION DE AVES Y DESC</t>
  </si>
  <si>
    <t>ACTA DE DEFUNCION DE LECHONES Y CERDOS</t>
  </si>
  <si>
    <t>ACTA DE DEFUNCION DE RUMIANTES</t>
  </si>
  <si>
    <t>ACTA DE DESTACE DE AVES</t>
  </si>
  <si>
    <t>ACTA DE NACIMIENTO DE LECHONES</t>
  </si>
  <si>
    <t>ACTAS DE NACIMIENTO DE RUMIANTES</t>
  </si>
  <si>
    <t>ACTA DE RENDIMIENTO DE CAPRINOS</t>
  </si>
  <si>
    <t>DESPACHO DE PRODUCTOS DE BODEGA</t>
  </si>
  <si>
    <t>DESPACHOS DE COMBUSTIBLES EN PAPEL</t>
  </si>
  <si>
    <t>ENTREGA DE PRODUCCION A BODEGA</t>
  </si>
  <si>
    <t>FOLDER TAMAÑO CARTA</t>
  </si>
  <si>
    <t>FOLDER TAMAÑO OFICIO</t>
  </si>
  <si>
    <t>FORMULARIOS DE REQUISICIONES DE MAT. Y/O</t>
  </si>
  <si>
    <t>HOJAS DE VALE PROVISIONA DE FCMF</t>
  </si>
  <si>
    <t>ORDER BOOK</t>
  </si>
  <si>
    <t>PAPEL BOND TAMAÑO CARTA</t>
  </si>
  <si>
    <t>PAPEL BOND T/OFICIO</t>
  </si>
  <si>
    <t>PAPEL CONTINUO 9 1/2 X 11 3 PTES</t>
  </si>
  <si>
    <t>PAPEL PARA CONTOMETRO</t>
  </si>
  <si>
    <t>SOBRE T/OFICIO CON O SIN VENTANILLA</t>
  </si>
  <si>
    <t>SOBRES MANILA T/CARTA</t>
  </si>
  <si>
    <t>TARJETAS DE KARDEX COLOR VERDE</t>
  </si>
  <si>
    <t>TRASLADO DE PRODUCTOS ENTRE BODEGAS</t>
  </si>
  <si>
    <t>PAPEL CARBON TAMAÑO OFICIO</t>
  </si>
  <si>
    <t>ACTA DE DESTACE DE BOVINOS</t>
  </si>
  <si>
    <t>RENDIMIENTO EN CANAL FRIA BOVINOS</t>
  </si>
  <si>
    <t>ACTA DE NACIMIENTO DE AVES</t>
  </si>
  <si>
    <t>CARPETAS COLGANTES</t>
  </si>
  <si>
    <t>ACTAS DE DEFUNCION DE CONEJOS</t>
  </si>
  <si>
    <t>ACTA DE NACIMIENTO DE CONEJOS</t>
  </si>
  <si>
    <t>CARTONCILLO</t>
  </si>
  <si>
    <t>NOTAS ADHESIVAS 3 X 3</t>
  </si>
  <si>
    <t>CARTULINA</t>
  </si>
  <si>
    <t>LIBRETA RAYADA TAMAÑO CARTA</t>
  </si>
  <si>
    <t>LIBRETA TAQUIGRAFICA</t>
  </si>
  <si>
    <t>PAPEL BOND TAMAÑO LEGAL</t>
  </si>
  <si>
    <t>FORMATODE DICTAMEN DE CONTROL DE</t>
  </si>
  <si>
    <t>FORMATO DE DESPACHO DE CUPONES DE</t>
  </si>
  <si>
    <t>FORMULARIO "ACTA DE DEFUNCIÓN GANADO DE</t>
  </si>
  <si>
    <t>FORMULARIO "ACTA DE NACIMIENTO DE OVI</t>
  </si>
  <si>
    <t>FORMULARIO "ACTA DE DEFUNCIÓN DE OVI</t>
  </si>
  <si>
    <t>SOBRE MANILA TAMAÑO JUMBO</t>
  </si>
  <si>
    <t>GUANTES DE CUERO Y LONA</t>
  </si>
  <si>
    <t>CODOS PVC 1"</t>
  </si>
  <si>
    <t>DESINFECTANTE PARA PISO</t>
  </si>
  <si>
    <t>BOLSA DE GABACHA #4 COLOR BLANCA</t>
  </si>
  <si>
    <t>CODO LISO 3/4</t>
  </si>
  <si>
    <t>JABON LIQUIDO</t>
  </si>
  <si>
    <t>CINTA TEFLON</t>
  </si>
  <si>
    <t>TUBO PVC 1"</t>
  </si>
  <si>
    <t>ADAPTADOR MACHO PVC 1"</t>
  </si>
  <si>
    <t>BOLSA PLASTICA DE 3 LBS (7X11)</t>
  </si>
  <si>
    <t>BOLSA PLASTICA TRANSPARENTE DE 25 LBS.</t>
  </si>
  <si>
    <t>BOLSA TRANSPARENTE DE ½ ARROBA (DOBLE)</t>
  </si>
  <si>
    <t>BOLSA DE GABACHA Nº 3 (DIVERSOS COLORES)</t>
  </si>
  <si>
    <t>REDUCTOR MACHO PVC DE 3/4 A 1/2 PLG.</t>
  </si>
  <si>
    <t>TEE PVC DE ½" LISA</t>
  </si>
  <si>
    <t>CODO LISO PVC DE ½"</t>
  </si>
  <si>
    <t>BOLSA PARA BASURA T ½ JARDIN 24X32X250</t>
  </si>
  <si>
    <t>IMPERMEABILIZANTE Y TERMOREFLECTANTE</t>
  </si>
  <si>
    <t>ADAPTADOR MACHO PVC DE ½" 12 MM</t>
  </si>
  <si>
    <t>CODO CON ROSCA 90° ½</t>
  </si>
  <si>
    <t>ADAPTADOR MACHO DE 3/4"</t>
  </si>
  <si>
    <t>BOLSA JARDINERA NEGRA (5 UNIDADES)</t>
  </si>
  <si>
    <t>BOLSA PLASTICA TRANSPARENTE DE 5 LBS 9X14</t>
  </si>
  <si>
    <t>BOLSA PLASTICA TRANSPARENTE DE 2 LBS DOBLE</t>
  </si>
  <si>
    <t>PALA PLASTICA PARA RECOLECTAR BASURA</t>
  </si>
  <si>
    <t>UNION PVC A 1/2</t>
  </si>
  <si>
    <t>CONO PVC NARANJA C/REFLECTIVO 28PULG.</t>
  </si>
  <si>
    <t>JABON LIQUIDO PARA MANOS</t>
  </si>
  <si>
    <t>BASURERO PLASTICO CAP 15 LTS. TAPA DE</t>
  </si>
  <si>
    <t>DETERGENTE MULTIUSOS 10K</t>
  </si>
  <si>
    <t>MASCON VERDE DE MICROFIBRA</t>
  </si>
  <si>
    <t>BOLSA GABACHA #1 BLANCA</t>
  </si>
  <si>
    <t>BOLSA DE CABACHA #2 BLANCA</t>
  </si>
  <si>
    <t>ESCOBA PLASTICA CON BASTON</t>
  </si>
  <si>
    <t>DETERGENTE INDUSTRIAL EN POLVO BOLSA BOLSA</t>
  </si>
  <si>
    <t>DIESEL (CUPONES)</t>
  </si>
  <si>
    <t>TORNILLO GOLOSO DE 1 ½</t>
  </si>
  <si>
    <t>TORNILLOS AUTORROSCANTE 1"</t>
  </si>
  <si>
    <t>PERNO TODO ROSCA 2 X ½"</t>
  </si>
  <si>
    <t>PERNO TODO ROSCA 3/16 X ½</t>
  </si>
  <si>
    <t>PERNO TODO ROSCA 3/16 X 1"</t>
  </si>
  <si>
    <t>PERNO TODO ROSCA 3/16 X 1 ½"</t>
  </si>
  <si>
    <t>PERNO TODO ROSCA 3/16 X 2"</t>
  </si>
  <si>
    <t>PERNO TODO ROSCA ¼ X 2"</t>
  </si>
  <si>
    <t>ARILLOS DE 1 1/8"</t>
  </si>
  <si>
    <t>CORRECTOR TIPO LAPIZ</t>
  </si>
  <si>
    <t>BOLIGRAFOS</t>
  </si>
  <si>
    <t>BORRADORES DE ESCOBILLA</t>
  </si>
  <si>
    <t>BORRADOR DE GOMA</t>
  </si>
  <si>
    <t>CINTA PARA CONTOMETRO</t>
  </si>
  <si>
    <t>CINTA SCOTCH</t>
  </si>
  <si>
    <t>CLIP METALICO JUMBO</t>
  </si>
  <si>
    <t>DISPENSADOR PARA CINTA SCOTH</t>
  </si>
  <si>
    <t>GRAPAS 3/8 STCR-2619</t>
  </si>
  <si>
    <t>GRAPAS STANDAR</t>
  </si>
  <si>
    <t>LAPIZ MINA NEGRA 2 HB</t>
  </si>
  <si>
    <t>PEGAMENTO ESCOLAR / OFICINA</t>
  </si>
  <si>
    <t>PERFORADORA</t>
  </si>
  <si>
    <t>PLUMON FLUORESCENTE</t>
  </si>
  <si>
    <t>REGLA PLASTICA DE 30 CM</t>
  </si>
  <si>
    <t>SACAGRAPAS</t>
  </si>
  <si>
    <t>TIJERA</t>
  </si>
  <si>
    <t>LAPIZ BICOLOR</t>
  </si>
  <si>
    <t>FASTENER METALICO</t>
  </si>
  <si>
    <t>GRAPA 1/2"</t>
  </si>
  <si>
    <t>SUJETA PAPELES 2"</t>
  </si>
  <si>
    <t>PLUMON PERMANENTE</t>
  </si>
  <si>
    <t>ETIQUETAS RECTANGULARES</t>
  </si>
  <si>
    <t>PLUMON TINTA INDELEBLE</t>
  </si>
  <si>
    <t>TINTA PARA ALMOHADILLA</t>
  </si>
  <si>
    <t>CINTA DE EMBALAJE ANCHA TRANSPARENTE</t>
  </si>
  <si>
    <t>TIRRO 3/4" X 16 YDAS</t>
  </si>
  <si>
    <t>PLUMON PARA PIZARRA</t>
  </si>
  <si>
    <t>FASTENER PLASTICO</t>
  </si>
  <si>
    <t>BORRADOR PARA PIZARRA BLANCA</t>
  </si>
  <si>
    <t>SACAPUNTA DE METAL</t>
  </si>
  <si>
    <t>ARCHIVADOR DE PALANCA T/CARTA</t>
  </si>
  <si>
    <t>CD-RW</t>
  </si>
  <si>
    <t>CINTA P/ IMPRESOR EPSON LQ-590</t>
  </si>
  <si>
    <t>TINTA CANON PG 40 NEGRA</t>
  </si>
  <si>
    <t>TINTA CANON CL 41 COLOR</t>
  </si>
  <si>
    <t>TONER HP CB 436A # 36 A NEGRO</t>
  </si>
  <si>
    <t>TONER HP NEGRO CE 505 A</t>
  </si>
  <si>
    <t>TONER HP LJ P1606 CE278A</t>
  </si>
  <si>
    <t>CARTUCHO TX 600 ( VARIOS COLORES )</t>
  </si>
  <si>
    <t>TINTA EPSON TX 620 ( VARIOS COLORES )</t>
  </si>
  <si>
    <t>TONER HP CE 285A</t>
  </si>
  <si>
    <t>TONER HP CE 410A NEGRO (305 A)</t>
  </si>
  <si>
    <t>TONER HP CE 411A CYAN (305)</t>
  </si>
  <si>
    <t>TONER HP CE 412A AMARILLO (305)</t>
  </si>
  <si>
    <t>TONER HP CE 413A MAGENTA (305)</t>
  </si>
  <si>
    <t>CINTA IMPRESORA LQ 2090</t>
  </si>
  <si>
    <t>TONER HP LJ CP1025, MOD. CE310A NEGRO</t>
  </si>
  <si>
    <t>TONER HP LJ CP 1025, MOD. CE312A AMARILLO</t>
  </si>
  <si>
    <t>TONER HP LJ CP1025, MOD. CE313A MAGENTA</t>
  </si>
  <si>
    <t>TINTA EPSON T664120 BLACK L555</t>
  </si>
  <si>
    <t>TINTA EPSON COLORES L555 (CYAN, MAGENTA,</t>
  </si>
  <si>
    <t>CARTUCHO DE TONER CF 283A, MFP M127, M201DW</t>
  </si>
  <si>
    <t>TAMBOR DE TRANSFERENIA DE IMAGENES HP</t>
  </si>
  <si>
    <t>TINTA HP 932XL BLACK CN 053A OFFICE JET 7612</t>
  </si>
  <si>
    <t>TINTA HP 933XL CYAN CN054A OFFICE JET 7612</t>
  </si>
  <si>
    <t>TINTA HP 933XL MAGENTA CN055A OFFICE JET</t>
  </si>
  <si>
    <t>TINTA HP 933XL YELLOW CN056A OFFICE JET 7612</t>
  </si>
  <si>
    <t>TONER XEROX PASHER 3020 106R02773</t>
  </si>
  <si>
    <t>TONER LASER JET CF 230 A (M203 DW, M227 FW)</t>
  </si>
  <si>
    <t>TINTA HP 954 XL NEGRO (PRO 7740)</t>
  </si>
  <si>
    <t>TINTA HP 954 XL CYAN (PRO 7740)</t>
  </si>
  <si>
    <t>TINTA HP 954 XL MAGENTA (PRO 7740)</t>
  </si>
  <si>
    <t>TINTA HP 954 XL AMARILLO</t>
  </si>
  <si>
    <t>CARTUCHO DE TONNER 106R02737 C/NEGRO</t>
  </si>
  <si>
    <t>CINTA IMPRESORA S015631 PARA EPSON LX-350</t>
  </si>
  <si>
    <t>TAMBOR PARA IMPRESOR DW 32A (CF232 A)</t>
  </si>
  <si>
    <t>TINTA PARA IMPRESOR 1VV22AL GT53 NEGRO</t>
  </si>
  <si>
    <t>TINTA PARA IMPRESOR M0H54AL GT52 CYAN</t>
  </si>
  <si>
    <t>TINTA PARA IMPRESOR M0H55AL GT52 MAGENTA</t>
  </si>
  <si>
    <t>TINTA PARA IMPRESOR M0H56AL GT52 AMARILLO</t>
  </si>
  <si>
    <t>HP712-38ML -HP DESING JET T650 BLACK</t>
  </si>
  <si>
    <t>EPSON SJIC22P (K) NEGRO TM-C3500 C33S020577</t>
  </si>
  <si>
    <t>TONER HP LASERJET M283FDW 206A NEGRO</t>
  </si>
  <si>
    <t>TONER HP LASERJET M283FDW 206A CYAN</t>
  </si>
  <si>
    <t>TONER HP LASERJET M283FDW 206A AMARILLO</t>
  </si>
  <si>
    <t>TONER HP LASERJET M283FDW 206A MAGENTA</t>
  </si>
  <si>
    <t>TINTA HP DESIGNJET T650 712 CYAN</t>
  </si>
  <si>
    <t>TINTA HP DESIGNJET T650 712 MAGENTA</t>
  </si>
  <si>
    <t>TINTA HP DESIGNJET T650 712 AMARILLO</t>
  </si>
  <si>
    <t>TINTA EPSON CYAN TM-C3500</t>
  </si>
  <si>
    <t>TINTA EPSON AMARILLO TM-C3500</t>
  </si>
  <si>
    <t>TINTA EPSON MAGENTA TM-C3500</t>
  </si>
  <si>
    <t>OPERADORES PARA VENTANA SOLAIRE</t>
  </si>
  <si>
    <t>CORTAVIDRIO</t>
  </si>
  <si>
    <t>CANDADO 40 MM</t>
  </si>
  <si>
    <t>CADENA 18" STHIL</t>
  </si>
  <si>
    <t>LIJA PARA MADERA</t>
  </si>
  <si>
    <t>CASCOS PROTECTORES PLASTICOS BLANCOS</t>
  </si>
  <si>
    <t>ANCLA PLASTICA 3/8 X 2</t>
  </si>
  <si>
    <t>CUERPO TERMINAL 3/4"</t>
  </si>
  <si>
    <t>BAYBEN</t>
  </si>
  <si>
    <t>BISAGRA DE 1"</t>
  </si>
  <si>
    <t>BISAGRA DE 3/4"</t>
  </si>
  <si>
    <t>BISAGRA DE 4"</t>
  </si>
  <si>
    <t>ANCLA DE ½ X 1"</t>
  </si>
  <si>
    <t>ANCLA DE 3/16 X 1"</t>
  </si>
  <si>
    <t>VALVULA DE BOLA METALICA DE 1/4"</t>
  </si>
  <si>
    <t>LENTES TRANSPARENTES PROTECTORES</t>
  </si>
  <si>
    <t>ANCLA PLASTICA ¼</t>
  </si>
  <si>
    <t>REPUESTO PARA RODILLO DE FELPA</t>
  </si>
  <si>
    <t>VALVULA PASO LIBRE 1"</t>
  </si>
  <si>
    <t>EMPAQUE ESPONJOSO TANQUE INODORO</t>
  </si>
  <si>
    <t>DUCHAS METALICA CROMADA</t>
  </si>
  <si>
    <t>VALVULA DE BOLA METALICA DE 2"</t>
  </si>
  <si>
    <t>RODO DE PLANCHA 50MM NEGRO(PARA SILLA)</t>
  </si>
  <si>
    <t>MINGITORIO STANDAR (URINARIO)</t>
  </si>
  <si>
    <t>LIJA PARA HIERRO #1000</t>
  </si>
  <si>
    <t>ANCLA METALICA DE EXPANSIÓN DE 1/2" CON</t>
  </si>
  <si>
    <t>CEPO COBRE PARA CABLE 1/10" TORTILLO</t>
  </si>
  <si>
    <t>ANCLA PLASTICA DE ½</t>
  </si>
  <si>
    <t>VALVULA TIPO FLOTADOR PARA CISTERNA</t>
  </si>
  <si>
    <t>LIJA DE AGUA # 100</t>
  </si>
  <si>
    <t>DISCO DE DIAMANTE DE 9"</t>
  </si>
  <si>
    <t>LIJA DE AGUA NO. 320 MARCA TRUPPER</t>
  </si>
  <si>
    <t>EXTENSION ELECTRICA 25 PIES 3 TOMAS</t>
  </si>
  <si>
    <t>AISLADORES DE CARRETE</t>
  </si>
  <si>
    <t>CUERPO TEMINAL DE # 3 HIERRO GAL</t>
  </si>
  <si>
    <t>LAMPARA PARA RIEL NEGRA R20</t>
  </si>
  <si>
    <t>PATAS SOPORTES PARA LAMPARA</t>
  </si>
  <si>
    <t>PLACA 1 HUECO EN ALUMINIO ANODIZ</t>
  </si>
  <si>
    <t>PLACA PARA TOMA HEMBRA TRIFILAR,</t>
  </si>
  <si>
    <t>PLACA PARA TOMA POLARIZADO</t>
  </si>
  <si>
    <t>TAPADERAS REDONDAS</t>
  </si>
  <si>
    <t>TOMA HEMBRA EAGLE 270/3221</t>
  </si>
  <si>
    <t>TUBOS FLUORESCENTES DE 20 WATTS</t>
  </si>
  <si>
    <t>CUERPO TERMINAL 1"</t>
  </si>
  <si>
    <t>TOMA HEMBRA POLARIZADO AL PISO 110 V.</t>
  </si>
  <si>
    <t>CLEVIS</t>
  </si>
  <si>
    <t>CONDUCTOR THHN # 10 NEGRO</t>
  </si>
  <si>
    <t>BARRA TENSORA C/REPOLLO</t>
  </si>
  <si>
    <t>ABRAZADERA DE 7" A 9"</t>
  </si>
  <si>
    <t>GRAPA LINEA VIVA ABC1530 #6 - 3/0</t>
  </si>
  <si>
    <t>CASCOS DE MULA</t>
  </si>
  <si>
    <t>SWITCH SENCILLO DE PLACA INTEGRADA PARA</t>
  </si>
  <si>
    <t>CAJA CUADRADA DOBLE FONDO 4X4 CON</t>
  </si>
  <si>
    <t>ABRAZADERAS DE LAMINA DE 3/4"</t>
  </si>
  <si>
    <t>SWITCH DOBLE DE EMPOTRAR CON PLACA</t>
  </si>
  <si>
    <t>RECEPTACULO PARA FOCO</t>
  </si>
  <si>
    <t>CABLE THHN 6 BLANCO CORTE</t>
  </si>
  <si>
    <t>BARRA COPERWELL DE 6" C/CEPO</t>
  </si>
  <si>
    <t>FUSIBLE DE CARTUCHO DE 60 AMPERIOS DE</t>
  </si>
  <si>
    <t>TRANSFORMADOR DE AHORRO 2 X 32</t>
  </si>
  <si>
    <t>SOCKET ADAPTADOR E4 A E27</t>
  </si>
  <si>
    <t>BOMBILLO LED 50W E40 100-240V</t>
  </si>
  <si>
    <t>COMPRESA YO 25U25 #2</t>
  </si>
  <si>
    <t>PLACA PARA TOMA DOBLE</t>
  </si>
  <si>
    <t>SWITCH DE CAMBIO TIPO DADO CON CHASIS Y</t>
  </si>
  <si>
    <t>FOTOCELDA 120/240V FC-105V</t>
  </si>
  <si>
    <t>ESCOBA PLASTICA (NYLON)</t>
  </si>
  <si>
    <t>JALA AGUA RASTRILLO</t>
  </si>
  <si>
    <t>MASCARILLA CON FILTRO</t>
  </si>
  <si>
    <t>ESCOBA TIPO RASTRILLO GRANDE</t>
  </si>
  <si>
    <t>FILTROS PARA MASCARILLAS (REPUESTO)</t>
  </si>
  <si>
    <t>ESCOBA METALICA</t>
  </si>
  <si>
    <t>DISPENSADOR DE PAPEL HIGIENICO</t>
  </si>
  <si>
    <t>CINCHOS DE SEGURIDAD TIPO ARAÑA DE 10</t>
  </si>
  <si>
    <t>PAPEL HIGIENICO SCOTT RINDEMAX (24</t>
  </si>
  <si>
    <t>CLAVO DE 1" CON CABEZA</t>
  </si>
  <si>
    <t>CLAVO DE 1" SIN CABEZA</t>
  </si>
  <si>
    <t>DURALITA DE 4 PIES</t>
  </si>
  <si>
    <t>LAMPARA DE MANO DE 3 BATERIAS SI</t>
  </si>
  <si>
    <t>TACHUELA</t>
  </si>
  <si>
    <t>PRIMERA MANO PARA PAREDES MATE COLOR</t>
  </si>
  <si>
    <t>TUBO PVC DE 1/2"</t>
  </si>
  <si>
    <t>TUBO PVC DE 3/4"</t>
  </si>
  <si>
    <t>LEJIA AL 6%</t>
  </si>
  <si>
    <t>BOLSA 1/2 JARDIN PAQ. 10 U</t>
  </si>
  <si>
    <t>BOLSA TAMAÑO JARDIN 400 34X52</t>
  </si>
  <si>
    <t>DETERGENTE EN POLVO-BOLSA 500 GRS</t>
  </si>
  <si>
    <t>LAPTOP HP PROBOOK ULTRA 7</t>
  </si>
  <si>
    <t>LAPTOP HP PROBOOK 460 G11 ULTRA 5</t>
  </si>
  <si>
    <t>BOLSA DE GABACHA N. 3 COLOR NEGRO</t>
  </si>
  <si>
    <t>BOLSA DE GABACHA N. 3 BLANCO</t>
  </si>
  <si>
    <t>BOLSA DE GABACHA N. 2 COLOR BLANCO</t>
  </si>
  <si>
    <t xml:space="preserve">PINTURA AMARILLO ALBARICOQUE </t>
  </si>
  <si>
    <t>LEJIA AL 5% (CLORO)</t>
  </si>
  <si>
    <t>C/U</t>
  </si>
  <si>
    <t>PLIEGO</t>
  </si>
  <si>
    <t>YARDA</t>
  </si>
  <si>
    <t>LIBRA</t>
  </si>
  <si>
    <t>BLOCK</t>
  </si>
  <si>
    <t>JUEGO</t>
  </si>
  <si>
    <t>UNIDAD</t>
  </si>
  <si>
    <t>RESMA</t>
  </si>
  <si>
    <t>CAJA</t>
  </si>
  <si>
    <t>ROLLO</t>
  </si>
  <si>
    <t>PAQUETE</t>
  </si>
  <si>
    <t>CUBO</t>
  </si>
  <si>
    <t>CALIDADJG</t>
  </si>
  <si>
    <t>PAR</t>
  </si>
  <si>
    <t>GALON</t>
  </si>
  <si>
    <t>MILLARES</t>
  </si>
  <si>
    <t>CIENTO</t>
  </si>
  <si>
    <t>Entradas</t>
  </si>
  <si>
    <t>Salidas</t>
  </si>
  <si>
    <t>Existencia Actual</t>
  </si>
  <si>
    <t>C.PEPS</t>
  </si>
  <si>
    <t>Costo Total</t>
  </si>
  <si>
    <t>CUBETA</t>
  </si>
  <si>
    <t xml:space="preserve">CUPONES DE COMBUSTIBLE/GASOLINA </t>
  </si>
  <si>
    <t>LITRO</t>
  </si>
  <si>
    <t>DOCENA</t>
  </si>
  <si>
    <t>500GRS</t>
  </si>
  <si>
    <t>FRASCO</t>
  </si>
  <si>
    <t>7612C/U</t>
  </si>
  <si>
    <t>METRO</t>
  </si>
  <si>
    <t>LB</t>
  </si>
  <si>
    <t>GRISCUBETA</t>
  </si>
  <si>
    <t>BOLSAS</t>
  </si>
  <si>
    <t>Bodega</t>
  </si>
  <si>
    <t>BOD-001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</si>
</sst>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$&quot;* #,##0.00_-;\-&quot;$&quot;* #,##0.00_-;_-&quot;$&quot;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164" fontId="0" fillId="0" borderId="0" xfId="1" applyFont="1"/>
    <xf numFmtId="164" fontId="0" fillId="0" borderId="0" xfId="0" applyNumberFormat="1"/>
    <xf numFmtId="3" fontId="0" fillId="0" borderId="0" xfId="0" applyNumberForma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4448A-616A-4799-9E63-885626AEE9FF}">
  <dimension ref="A1:Q273"/>
  <sheetViews>
    <sheetView tabSelected="1" topLeftCell="A235" workbookViewId="0">
      <selection activeCell="P2" sqref="B2:P272"/>
    </sheetView>
  </sheetViews>
  <sheetFormatPr defaultColWidth="11.5546875" defaultRowHeight="14.4" x14ac:dyDescent="0.3"/>
  <cols>
    <col min="2" max="2" width="44.6640625" bestFit="1" customWidth="1"/>
    <col min="4" max="5" width="14.33203125" customWidth="1"/>
    <col min="6" max="6" width="11.6640625" customWidth="1"/>
    <col min="7" max="7" width="15.44140625" customWidth="1"/>
    <col min="8" max="8" width="20.109375" customWidth="1"/>
    <col min="9" max="9" width="15.77734375" customWidth="1"/>
    <col min="10" max="10" width="16.88671875" customWidth="1"/>
    <col min="11" max="12" width="15.44140625" bestFit="1" customWidth="1"/>
    <col min="14" max="14" width="15.109375" customWidth="1"/>
  </cols>
  <sheetData>
    <row r="1" spans="1:17" x14ac:dyDescent="0.3">
      <c r="B1" t="s">
        <v>0</v>
      </c>
      <c r="C1" t="s">
        <v>1</v>
      </c>
      <c r="D1" t="s">
        <v>2</v>
      </c>
      <c r="E1" t="s">
        <v>312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296</v>
      </c>
      <c r="M1" t="s">
        <v>297</v>
      </c>
      <c r="N1" t="s">
        <v>298</v>
      </c>
      <c r="O1" t="s">
        <v>299</v>
      </c>
      <c r="P1" t="s">
        <v>300</v>
      </c>
    </row>
    <row r="2" spans="1:17" x14ac:dyDescent="0.3">
      <c r="A2" s="1">
        <v>1</v>
      </c>
      <c r="B2" s="2" t="s">
        <v>9</v>
      </c>
      <c r="E2" t="s">
        <v>313</v>
      </c>
      <c r="F2">
        <v>54</v>
      </c>
      <c r="G2">
        <v>54103</v>
      </c>
      <c r="H2" t="s">
        <v>279</v>
      </c>
      <c r="K2">
        <v>6</v>
      </c>
      <c r="L2">
        <v>0</v>
      </c>
      <c r="M2">
        <v>0</v>
      </c>
      <c r="N2">
        <v>6</v>
      </c>
      <c r="O2" s="3">
        <v>43.08</v>
      </c>
      <c r="P2" s="4">
        <f>O2*N2</f>
        <v>258.48</v>
      </c>
    </row>
    <row r="3" spans="1:17" x14ac:dyDescent="0.3">
      <c r="A3" s="1">
        <v>2</v>
      </c>
      <c r="B3" s="2" t="s">
        <v>10</v>
      </c>
      <c r="E3" t="s">
        <v>313</v>
      </c>
      <c r="F3">
        <v>54</v>
      </c>
      <c r="G3">
        <v>54103</v>
      </c>
      <c r="H3" t="s">
        <v>280</v>
      </c>
      <c r="K3">
        <v>2</v>
      </c>
      <c r="L3">
        <v>0</v>
      </c>
      <c r="M3">
        <v>0</v>
      </c>
      <c r="N3">
        <v>2</v>
      </c>
      <c r="O3" s="3">
        <v>17.850000000000001</v>
      </c>
      <c r="P3" s="4">
        <f t="shared" ref="P3:P66" si="0">O3*N3</f>
        <v>35.700000000000003</v>
      </c>
    </row>
    <row r="4" spans="1:17" x14ac:dyDescent="0.3">
      <c r="A4" s="1">
        <v>3</v>
      </c>
      <c r="B4" s="2" t="s">
        <v>12</v>
      </c>
      <c r="E4" t="s">
        <v>313</v>
      </c>
      <c r="F4">
        <v>54</v>
      </c>
      <c r="G4">
        <v>54104</v>
      </c>
      <c r="H4" t="s">
        <v>279</v>
      </c>
      <c r="K4">
        <v>53</v>
      </c>
      <c r="L4">
        <v>0</v>
      </c>
      <c r="M4">
        <v>0</v>
      </c>
      <c r="N4">
        <v>53</v>
      </c>
      <c r="O4" s="3">
        <v>2.21</v>
      </c>
      <c r="P4" s="4">
        <f t="shared" si="0"/>
        <v>117.13</v>
      </c>
    </row>
    <row r="5" spans="1:17" x14ac:dyDescent="0.3">
      <c r="A5" s="1">
        <v>4</v>
      </c>
      <c r="B5" s="1" t="s">
        <v>11</v>
      </c>
      <c r="E5" t="s">
        <v>313</v>
      </c>
      <c r="F5">
        <v>54</v>
      </c>
      <c r="G5">
        <v>54104</v>
      </c>
      <c r="H5" t="s">
        <v>281</v>
      </c>
      <c r="K5">
        <v>40</v>
      </c>
      <c r="L5">
        <v>0</v>
      </c>
      <c r="M5">
        <v>0</v>
      </c>
      <c r="N5">
        <v>40</v>
      </c>
      <c r="O5" s="3">
        <v>2.35</v>
      </c>
      <c r="P5" s="4">
        <f t="shared" si="0"/>
        <v>94</v>
      </c>
    </row>
    <row r="6" spans="1:17" x14ac:dyDescent="0.3">
      <c r="A6" s="1">
        <v>5</v>
      </c>
      <c r="B6" s="2" t="s">
        <v>13</v>
      </c>
      <c r="E6" t="s">
        <v>313</v>
      </c>
      <c r="F6">
        <v>54</v>
      </c>
      <c r="G6">
        <v>54104</v>
      </c>
      <c r="H6" t="s">
        <v>282</v>
      </c>
      <c r="K6">
        <v>5</v>
      </c>
      <c r="L6">
        <v>0</v>
      </c>
      <c r="M6">
        <v>0</v>
      </c>
      <c r="N6">
        <v>5</v>
      </c>
      <c r="O6" s="3">
        <v>1.25</v>
      </c>
      <c r="P6" s="4">
        <f t="shared" si="0"/>
        <v>6.25</v>
      </c>
    </row>
    <row r="7" spans="1:17" x14ac:dyDescent="0.3">
      <c r="A7" s="1">
        <v>6</v>
      </c>
      <c r="B7" s="2" t="s">
        <v>14</v>
      </c>
      <c r="E7" t="s">
        <v>313</v>
      </c>
      <c r="F7">
        <v>54</v>
      </c>
      <c r="G7">
        <v>54104</v>
      </c>
      <c r="H7" t="s">
        <v>279</v>
      </c>
      <c r="K7">
        <v>1</v>
      </c>
      <c r="L7">
        <v>0</v>
      </c>
      <c r="M7">
        <v>0</v>
      </c>
      <c r="N7">
        <v>1</v>
      </c>
      <c r="O7" s="3">
        <v>6.78</v>
      </c>
      <c r="P7" s="4">
        <f t="shared" si="0"/>
        <v>6.78</v>
      </c>
    </row>
    <row r="8" spans="1:17" x14ac:dyDescent="0.3">
      <c r="A8" s="1">
        <v>7</v>
      </c>
      <c r="B8" t="s">
        <v>15</v>
      </c>
      <c r="E8" t="s">
        <v>313</v>
      </c>
      <c r="F8">
        <v>54</v>
      </c>
      <c r="G8">
        <v>54105</v>
      </c>
      <c r="H8" t="s">
        <v>283</v>
      </c>
      <c r="K8">
        <v>4</v>
      </c>
      <c r="L8">
        <v>0</v>
      </c>
      <c r="M8">
        <v>0</v>
      </c>
      <c r="N8">
        <v>4</v>
      </c>
      <c r="O8" s="3">
        <v>5.91</v>
      </c>
      <c r="P8" s="4">
        <f t="shared" si="0"/>
        <v>23.64</v>
      </c>
      <c r="Q8" s="4"/>
    </row>
    <row r="9" spans="1:17" x14ac:dyDescent="0.3">
      <c r="A9" s="1">
        <v>8</v>
      </c>
      <c r="B9" t="s">
        <v>16</v>
      </c>
      <c r="E9" t="s">
        <v>313</v>
      </c>
      <c r="F9">
        <v>54</v>
      </c>
      <c r="G9">
        <v>54105</v>
      </c>
      <c r="H9" t="s">
        <v>283</v>
      </c>
      <c r="K9">
        <v>3</v>
      </c>
      <c r="L9">
        <v>0</v>
      </c>
      <c r="M9">
        <v>0</v>
      </c>
      <c r="N9">
        <v>3</v>
      </c>
      <c r="O9" s="3">
        <v>13.27</v>
      </c>
      <c r="P9" s="4">
        <f t="shared" si="0"/>
        <v>39.81</v>
      </c>
    </row>
    <row r="10" spans="1:17" x14ac:dyDescent="0.3">
      <c r="A10" s="1">
        <v>9</v>
      </c>
      <c r="B10" t="s">
        <v>17</v>
      </c>
      <c r="E10" t="s">
        <v>313</v>
      </c>
      <c r="F10">
        <v>54</v>
      </c>
      <c r="G10">
        <v>54105</v>
      </c>
      <c r="H10" t="s">
        <v>284</v>
      </c>
      <c r="K10">
        <v>100</v>
      </c>
      <c r="L10">
        <v>0</v>
      </c>
      <c r="M10">
        <v>0</v>
      </c>
      <c r="N10">
        <v>100</v>
      </c>
      <c r="O10" s="3">
        <v>0.15</v>
      </c>
      <c r="P10" s="4">
        <f t="shared" si="0"/>
        <v>15</v>
      </c>
    </row>
    <row r="11" spans="1:17" x14ac:dyDescent="0.3">
      <c r="A11" s="1">
        <v>10</v>
      </c>
      <c r="B11" t="s">
        <v>18</v>
      </c>
      <c r="E11" t="s">
        <v>313</v>
      </c>
      <c r="F11">
        <v>54</v>
      </c>
      <c r="G11">
        <v>54105</v>
      </c>
      <c r="H11" t="s">
        <v>283</v>
      </c>
      <c r="K11">
        <v>8</v>
      </c>
      <c r="L11">
        <v>0</v>
      </c>
      <c r="M11">
        <v>0</v>
      </c>
      <c r="N11">
        <v>8</v>
      </c>
      <c r="O11" s="3">
        <v>6.46</v>
      </c>
      <c r="P11" s="4">
        <f t="shared" si="0"/>
        <v>51.68</v>
      </c>
    </row>
    <row r="12" spans="1:17" x14ac:dyDescent="0.3">
      <c r="A12" s="1">
        <v>11</v>
      </c>
      <c r="B12" t="s">
        <v>19</v>
      </c>
      <c r="E12" t="s">
        <v>313</v>
      </c>
      <c r="F12">
        <v>54</v>
      </c>
      <c r="G12">
        <v>54105</v>
      </c>
      <c r="H12" t="s">
        <v>283</v>
      </c>
      <c r="K12">
        <v>3</v>
      </c>
      <c r="L12">
        <v>0</v>
      </c>
      <c r="M12">
        <v>0</v>
      </c>
      <c r="N12">
        <v>3</v>
      </c>
      <c r="O12" s="3">
        <v>13.27</v>
      </c>
      <c r="P12" s="4">
        <f t="shared" si="0"/>
        <v>39.81</v>
      </c>
    </row>
    <row r="13" spans="1:17" x14ac:dyDescent="0.3">
      <c r="A13" s="1">
        <v>12</v>
      </c>
      <c r="B13" t="s">
        <v>20</v>
      </c>
      <c r="E13" t="s">
        <v>313</v>
      </c>
      <c r="F13">
        <v>54</v>
      </c>
      <c r="G13">
        <v>54105</v>
      </c>
      <c r="H13" t="s">
        <v>283</v>
      </c>
      <c r="K13">
        <v>18</v>
      </c>
      <c r="L13">
        <v>0</v>
      </c>
      <c r="M13">
        <v>0</v>
      </c>
      <c r="N13">
        <v>18</v>
      </c>
      <c r="O13" s="3">
        <v>5.52</v>
      </c>
      <c r="P13" s="4">
        <f t="shared" si="0"/>
        <v>99.359999999999985</v>
      </c>
    </row>
    <row r="14" spans="1:17" x14ac:dyDescent="0.3">
      <c r="A14" s="1">
        <v>13</v>
      </c>
      <c r="B14" t="s">
        <v>21</v>
      </c>
      <c r="E14" t="s">
        <v>313</v>
      </c>
      <c r="F14">
        <v>54</v>
      </c>
      <c r="G14">
        <v>54105</v>
      </c>
      <c r="H14" t="s">
        <v>284</v>
      </c>
      <c r="K14">
        <v>50</v>
      </c>
      <c r="L14">
        <v>0</v>
      </c>
      <c r="M14">
        <v>0</v>
      </c>
      <c r="N14">
        <v>50</v>
      </c>
      <c r="O14" s="3">
        <v>0.18</v>
      </c>
      <c r="P14" s="4">
        <f t="shared" si="0"/>
        <v>9</v>
      </c>
    </row>
    <row r="15" spans="1:17" x14ac:dyDescent="0.3">
      <c r="A15" s="1">
        <v>14</v>
      </c>
      <c r="B15" t="s">
        <v>22</v>
      </c>
      <c r="E15" t="s">
        <v>313</v>
      </c>
      <c r="F15">
        <v>54</v>
      </c>
      <c r="G15">
        <v>54105</v>
      </c>
      <c r="H15" t="s">
        <v>283</v>
      </c>
      <c r="K15">
        <v>83</v>
      </c>
      <c r="L15">
        <v>0</v>
      </c>
      <c r="M15">
        <v>4</v>
      </c>
      <c r="N15">
        <v>79</v>
      </c>
      <c r="O15" s="3">
        <v>1.29</v>
      </c>
      <c r="P15" s="4">
        <f t="shared" si="0"/>
        <v>101.91</v>
      </c>
    </row>
    <row r="16" spans="1:17" x14ac:dyDescent="0.3">
      <c r="A16" s="1">
        <v>15</v>
      </c>
      <c r="B16" t="s">
        <v>23</v>
      </c>
      <c r="E16" t="s">
        <v>313</v>
      </c>
      <c r="F16">
        <v>54</v>
      </c>
      <c r="G16">
        <v>54105</v>
      </c>
      <c r="H16" t="s">
        <v>283</v>
      </c>
      <c r="K16">
        <v>127</v>
      </c>
      <c r="L16">
        <v>0</v>
      </c>
      <c r="M16">
        <v>0</v>
      </c>
      <c r="N16">
        <v>127</v>
      </c>
      <c r="O16" s="3">
        <v>1.65</v>
      </c>
      <c r="P16" s="4">
        <f t="shared" si="0"/>
        <v>209.54999999999998</v>
      </c>
    </row>
    <row r="17" spans="1:16" x14ac:dyDescent="0.3">
      <c r="A17" s="1">
        <v>16</v>
      </c>
      <c r="B17" t="s">
        <v>24</v>
      </c>
      <c r="E17" t="s">
        <v>313</v>
      </c>
      <c r="F17">
        <v>54</v>
      </c>
      <c r="G17">
        <v>54105</v>
      </c>
      <c r="H17" t="s">
        <v>283</v>
      </c>
      <c r="K17">
        <v>58</v>
      </c>
      <c r="L17">
        <v>0</v>
      </c>
      <c r="M17">
        <v>5</v>
      </c>
      <c r="N17">
        <v>53</v>
      </c>
      <c r="O17" s="3">
        <v>4.1399999999999997</v>
      </c>
      <c r="P17" s="4">
        <f t="shared" si="0"/>
        <v>219.42</v>
      </c>
    </row>
    <row r="18" spans="1:16" x14ac:dyDescent="0.3">
      <c r="A18" s="1">
        <v>17</v>
      </c>
      <c r="B18" t="s">
        <v>25</v>
      </c>
      <c r="E18" t="s">
        <v>313</v>
      </c>
      <c r="F18">
        <v>54</v>
      </c>
      <c r="G18">
        <v>54105</v>
      </c>
      <c r="H18" t="s">
        <v>285</v>
      </c>
      <c r="K18">
        <v>115</v>
      </c>
      <c r="L18">
        <v>0</v>
      </c>
      <c r="M18">
        <v>15</v>
      </c>
      <c r="N18">
        <v>100</v>
      </c>
      <c r="O18" s="3">
        <v>0.05</v>
      </c>
      <c r="P18" s="4">
        <f t="shared" si="0"/>
        <v>5</v>
      </c>
    </row>
    <row r="19" spans="1:16" x14ac:dyDescent="0.3">
      <c r="A19" s="1">
        <v>18</v>
      </c>
      <c r="B19" t="s">
        <v>26</v>
      </c>
      <c r="E19" t="s">
        <v>313</v>
      </c>
      <c r="F19">
        <v>54</v>
      </c>
      <c r="G19">
        <v>54105</v>
      </c>
      <c r="H19" t="s">
        <v>285</v>
      </c>
      <c r="K19">
        <v>138</v>
      </c>
      <c r="L19">
        <v>0</v>
      </c>
      <c r="M19">
        <v>0</v>
      </c>
      <c r="N19">
        <v>138</v>
      </c>
      <c r="O19" s="3">
        <v>0.06</v>
      </c>
      <c r="P19" s="4">
        <f t="shared" si="0"/>
        <v>8.2799999999999994</v>
      </c>
    </row>
    <row r="20" spans="1:16" x14ac:dyDescent="0.3">
      <c r="A20" s="1">
        <v>19</v>
      </c>
      <c r="B20" t="s">
        <v>27</v>
      </c>
      <c r="E20" t="s">
        <v>313</v>
      </c>
      <c r="F20">
        <v>54</v>
      </c>
      <c r="G20">
        <v>54105</v>
      </c>
      <c r="H20" t="s">
        <v>283</v>
      </c>
      <c r="K20">
        <v>22</v>
      </c>
      <c r="L20">
        <v>0</v>
      </c>
      <c r="M20">
        <v>0</v>
      </c>
      <c r="N20">
        <v>22</v>
      </c>
      <c r="O20" s="3">
        <v>2.08</v>
      </c>
      <c r="P20" s="4">
        <f t="shared" si="0"/>
        <v>45.760000000000005</v>
      </c>
    </row>
    <row r="21" spans="1:16" x14ac:dyDescent="0.3">
      <c r="A21" s="1">
        <v>20</v>
      </c>
      <c r="B21" t="s">
        <v>28</v>
      </c>
      <c r="E21" t="s">
        <v>313</v>
      </c>
      <c r="F21">
        <v>54</v>
      </c>
      <c r="G21">
        <v>54105</v>
      </c>
      <c r="H21" t="s">
        <v>283</v>
      </c>
      <c r="K21">
        <v>5</v>
      </c>
      <c r="L21">
        <v>0</v>
      </c>
      <c r="M21">
        <v>0</v>
      </c>
      <c r="N21">
        <v>5</v>
      </c>
      <c r="O21" s="3">
        <v>2.25</v>
      </c>
      <c r="P21" s="4">
        <f t="shared" si="0"/>
        <v>11.25</v>
      </c>
    </row>
    <row r="22" spans="1:16" x14ac:dyDescent="0.3">
      <c r="A22" s="1">
        <v>21</v>
      </c>
      <c r="B22" t="s">
        <v>29</v>
      </c>
      <c r="E22" t="s">
        <v>313</v>
      </c>
      <c r="F22">
        <v>54</v>
      </c>
      <c r="G22">
        <v>54105</v>
      </c>
      <c r="H22" t="s">
        <v>285</v>
      </c>
      <c r="K22">
        <v>29</v>
      </c>
      <c r="L22">
        <v>0</v>
      </c>
      <c r="M22">
        <v>1</v>
      </c>
      <c r="N22">
        <v>28</v>
      </c>
      <c r="O22" s="3">
        <v>0.85</v>
      </c>
      <c r="P22" s="4">
        <f t="shared" si="0"/>
        <v>23.8</v>
      </c>
    </row>
    <row r="23" spans="1:16" x14ac:dyDescent="0.3">
      <c r="A23" s="1">
        <v>22</v>
      </c>
      <c r="B23" t="s">
        <v>30</v>
      </c>
      <c r="E23" t="s">
        <v>313</v>
      </c>
      <c r="F23">
        <v>54</v>
      </c>
      <c r="G23">
        <v>54105</v>
      </c>
      <c r="H23" t="s">
        <v>286</v>
      </c>
      <c r="K23">
        <v>116</v>
      </c>
      <c r="L23">
        <v>15</v>
      </c>
      <c r="M23">
        <v>23</v>
      </c>
      <c r="N23">
        <v>108</v>
      </c>
      <c r="O23" s="3">
        <v>4.71</v>
      </c>
      <c r="P23" s="4">
        <f t="shared" si="0"/>
        <v>508.68</v>
      </c>
    </row>
    <row r="24" spans="1:16" x14ac:dyDescent="0.3">
      <c r="A24" s="1">
        <v>23</v>
      </c>
      <c r="B24" t="s">
        <v>31</v>
      </c>
      <c r="E24" t="s">
        <v>313</v>
      </c>
      <c r="F24">
        <v>54</v>
      </c>
      <c r="G24">
        <v>54105</v>
      </c>
      <c r="H24" t="s">
        <v>286</v>
      </c>
      <c r="K24">
        <v>70</v>
      </c>
      <c r="L24">
        <v>0</v>
      </c>
      <c r="M24">
        <v>0</v>
      </c>
      <c r="N24">
        <v>70</v>
      </c>
      <c r="O24" s="3">
        <v>4.95</v>
      </c>
      <c r="P24" s="4">
        <f t="shared" si="0"/>
        <v>346.5</v>
      </c>
    </row>
    <row r="25" spans="1:16" x14ac:dyDescent="0.3">
      <c r="A25" s="1">
        <v>24</v>
      </c>
      <c r="B25" t="s">
        <v>32</v>
      </c>
      <c r="E25" t="s">
        <v>313</v>
      </c>
      <c r="F25">
        <v>54</v>
      </c>
      <c r="G25">
        <v>54105</v>
      </c>
      <c r="H25" t="s">
        <v>287</v>
      </c>
      <c r="K25">
        <v>2</v>
      </c>
      <c r="L25">
        <v>0</v>
      </c>
      <c r="M25">
        <v>0</v>
      </c>
      <c r="N25">
        <v>2</v>
      </c>
      <c r="O25" s="3">
        <v>32.49</v>
      </c>
      <c r="P25" s="4">
        <f t="shared" si="0"/>
        <v>64.98</v>
      </c>
    </row>
    <row r="26" spans="1:16" x14ac:dyDescent="0.3">
      <c r="A26" s="1">
        <v>25</v>
      </c>
      <c r="B26" t="s">
        <v>33</v>
      </c>
      <c r="E26" t="s">
        <v>313</v>
      </c>
      <c r="F26">
        <v>54</v>
      </c>
      <c r="G26">
        <v>54105</v>
      </c>
      <c r="H26" t="s">
        <v>288</v>
      </c>
      <c r="K26">
        <v>3</v>
      </c>
      <c r="L26">
        <v>0</v>
      </c>
      <c r="M26">
        <v>0</v>
      </c>
      <c r="N26">
        <v>3</v>
      </c>
      <c r="O26" s="3">
        <v>0.28999999999999998</v>
      </c>
      <c r="P26" s="4">
        <f t="shared" si="0"/>
        <v>0.86999999999999988</v>
      </c>
    </row>
    <row r="27" spans="1:16" x14ac:dyDescent="0.3">
      <c r="A27" s="1">
        <v>26</v>
      </c>
      <c r="B27" t="s">
        <v>34</v>
      </c>
      <c r="E27" t="s">
        <v>313</v>
      </c>
      <c r="F27">
        <v>54</v>
      </c>
      <c r="G27">
        <v>54105</v>
      </c>
      <c r="H27" t="s">
        <v>285</v>
      </c>
      <c r="K27">
        <v>100</v>
      </c>
      <c r="L27">
        <v>0</v>
      </c>
      <c r="M27">
        <v>0</v>
      </c>
      <c r="N27">
        <v>100</v>
      </c>
      <c r="O27" s="3">
        <v>0.02</v>
      </c>
      <c r="P27" s="4">
        <f t="shared" si="0"/>
        <v>2</v>
      </c>
    </row>
    <row r="28" spans="1:16" x14ac:dyDescent="0.3">
      <c r="A28" s="1">
        <v>27</v>
      </c>
      <c r="B28" t="s">
        <v>35</v>
      </c>
      <c r="E28" t="s">
        <v>313</v>
      </c>
      <c r="F28">
        <v>54</v>
      </c>
      <c r="G28">
        <v>54105</v>
      </c>
      <c r="H28" t="s">
        <v>285</v>
      </c>
      <c r="K28">
        <v>130</v>
      </c>
      <c r="L28">
        <v>0</v>
      </c>
      <c r="M28">
        <v>0</v>
      </c>
      <c r="N28">
        <v>130</v>
      </c>
      <c r="O28" s="3">
        <v>0.06</v>
      </c>
      <c r="P28" s="4">
        <f t="shared" si="0"/>
        <v>7.8</v>
      </c>
    </row>
    <row r="29" spans="1:16" x14ac:dyDescent="0.3">
      <c r="A29" s="1">
        <v>28</v>
      </c>
      <c r="B29" t="s">
        <v>36</v>
      </c>
      <c r="E29" t="s">
        <v>313</v>
      </c>
      <c r="F29">
        <v>54</v>
      </c>
      <c r="G29">
        <v>54105</v>
      </c>
      <c r="H29" t="s">
        <v>285</v>
      </c>
      <c r="K29">
        <v>2100</v>
      </c>
      <c r="L29">
        <v>0</v>
      </c>
      <c r="M29">
        <v>700</v>
      </c>
      <c r="N29">
        <v>1400</v>
      </c>
      <c r="O29" s="3">
        <v>0.06</v>
      </c>
      <c r="P29" s="4">
        <f t="shared" si="0"/>
        <v>84</v>
      </c>
    </row>
    <row r="30" spans="1:16" x14ac:dyDescent="0.3">
      <c r="A30" s="1">
        <v>29</v>
      </c>
      <c r="B30" t="s">
        <v>37</v>
      </c>
      <c r="E30" t="s">
        <v>313</v>
      </c>
      <c r="F30">
        <v>54</v>
      </c>
      <c r="G30">
        <v>54105</v>
      </c>
      <c r="H30" t="s">
        <v>283</v>
      </c>
      <c r="K30">
        <v>60</v>
      </c>
      <c r="L30">
        <v>0</v>
      </c>
      <c r="M30">
        <v>0</v>
      </c>
      <c r="N30">
        <v>60</v>
      </c>
      <c r="O30" s="3">
        <v>1.38</v>
      </c>
      <c r="P30" s="4">
        <f t="shared" si="0"/>
        <v>82.8</v>
      </c>
    </row>
    <row r="31" spans="1:16" x14ac:dyDescent="0.3">
      <c r="A31" s="1">
        <v>30</v>
      </c>
      <c r="B31" t="s">
        <v>38</v>
      </c>
      <c r="E31" t="s">
        <v>313</v>
      </c>
      <c r="F31">
        <v>54</v>
      </c>
      <c r="G31">
        <v>54105</v>
      </c>
      <c r="H31" t="s">
        <v>289</v>
      </c>
      <c r="K31">
        <v>19</v>
      </c>
      <c r="L31">
        <v>0</v>
      </c>
      <c r="M31">
        <v>0</v>
      </c>
      <c r="N31">
        <v>19</v>
      </c>
      <c r="O31" s="3">
        <v>3.13</v>
      </c>
      <c r="P31" s="4">
        <f t="shared" si="0"/>
        <v>59.47</v>
      </c>
    </row>
    <row r="32" spans="1:16" x14ac:dyDescent="0.3">
      <c r="A32" s="1">
        <v>31</v>
      </c>
      <c r="B32" t="s">
        <v>39</v>
      </c>
      <c r="E32" t="s">
        <v>313</v>
      </c>
      <c r="F32">
        <v>54</v>
      </c>
      <c r="G32">
        <v>54105</v>
      </c>
      <c r="H32" t="s">
        <v>283</v>
      </c>
      <c r="K32">
        <v>3</v>
      </c>
      <c r="L32">
        <v>0</v>
      </c>
      <c r="M32">
        <v>0</v>
      </c>
      <c r="N32">
        <v>3</v>
      </c>
      <c r="O32" s="3">
        <v>10.62</v>
      </c>
      <c r="P32" s="4">
        <f t="shared" si="0"/>
        <v>31.86</v>
      </c>
    </row>
    <row r="33" spans="1:16" x14ac:dyDescent="0.3">
      <c r="A33" s="1">
        <v>32</v>
      </c>
      <c r="B33" t="s">
        <v>40</v>
      </c>
      <c r="E33" t="s">
        <v>313</v>
      </c>
      <c r="F33">
        <v>54</v>
      </c>
      <c r="G33">
        <v>54105</v>
      </c>
      <c r="H33" t="s">
        <v>283</v>
      </c>
      <c r="K33">
        <v>3</v>
      </c>
      <c r="L33">
        <v>0</v>
      </c>
      <c r="M33">
        <v>0</v>
      </c>
      <c r="N33">
        <v>3</v>
      </c>
      <c r="O33" s="3">
        <v>10.62</v>
      </c>
      <c r="P33" s="4">
        <f t="shared" si="0"/>
        <v>31.86</v>
      </c>
    </row>
    <row r="34" spans="1:16" x14ac:dyDescent="0.3">
      <c r="A34" s="1">
        <v>33</v>
      </c>
      <c r="B34" t="s">
        <v>41</v>
      </c>
      <c r="E34" t="s">
        <v>313</v>
      </c>
      <c r="F34">
        <v>54</v>
      </c>
      <c r="G34">
        <v>54105</v>
      </c>
      <c r="H34" t="s">
        <v>283</v>
      </c>
      <c r="K34">
        <v>8</v>
      </c>
      <c r="L34">
        <v>0</v>
      </c>
      <c r="M34">
        <v>0</v>
      </c>
      <c r="N34">
        <v>8</v>
      </c>
      <c r="O34" s="3">
        <v>12.38</v>
      </c>
      <c r="P34" s="4">
        <f t="shared" si="0"/>
        <v>99.04</v>
      </c>
    </row>
    <row r="35" spans="1:16" x14ac:dyDescent="0.3">
      <c r="A35" s="1">
        <v>34</v>
      </c>
      <c r="B35" t="s">
        <v>42</v>
      </c>
      <c r="E35" t="s">
        <v>313</v>
      </c>
      <c r="F35">
        <v>54</v>
      </c>
      <c r="G35">
        <v>54105</v>
      </c>
      <c r="H35" t="s">
        <v>287</v>
      </c>
      <c r="K35">
        <v>18</v>
      </c>
      <c r="L35">
        <v>0</v>
      </c>
      <c r="M35">
        <v>0</v>
      </c>
      <c r="N35">
        <v>18</v>
      </c>
      <c r="O35" s="3">
        <v>12.86</v>
      </c>
      <c r="P35" s="4">
        <f t="shared" si="0"/>
        <v>231.48</v>
      </c>
    </row>
    <row r="36" spans="1:16" x14ac:dyDescent="0.3">
      <c r="A36" s="1">
        <v>35</v>
      </c>
      <c r="B36" t="s">
        <v>43</v>
      </c>
      <c r="E36" t="s">
        <v>313</v>
      </c>
      <c r="F36">
        <v>54</v>
      </c>
      <c r="G36">
        <v>54105</v>
      </c>
      <c r="H36" t="s">
        <v>283</v>
      </c>
      <c r="K36">
        <v>4</v>
      </c>
      <c r="L36">
        <v>0</v>
      </c>
      <c r="M36">
        <v>0</v>
      </c>
      <c r="N36">
        <v>4</v>
      </c>
      <c r="O36" s="3">
        <v>7.96</v>
      </c>
      <c r="P36" s="4">
        <f t="shared" si="0"/>
        <v>31.84</v>
      </c>
    </row>
    <row r="37" spans="1:16" x14ac:dyDescent="0.3">
      <c r="A37" s="1">
        <v>36</v>
      </c>
      <c r="B37" t="s">
        <v>44</v>
      </c>
      <c r="E37" t="s">
        <v>313</v>
      </c>
      <c r="F37">
        <v>54</v>
      </c>
      <c r="G37">
        <v>54105</v>
      </c>
      <c r="H37" t="s">
        <v>283</v>
      </c>
      <c r="K37">
        <v>2</v>
      </c>
      <c r="L37">
        <v>0</v>
      </c>
      <c r="M37">
        <v>0</v>
      </c>
      <c r="N37">
        <v>2</v>
      </c>
      <c r="O37" s="3">
        <v>7.96</v>
      </c>
      <c r="P37" s="4">
        <f t="shared" si="0"/>
        <v>15.92</v>
      </c>
    </row>
    <row r="38" spans="1:16" x14ac:dyDescent="0.3">
      <c r="A38" s="1">
        <v>37</v>
      </c>
      <c r="B38" t="s">
        <v>45</v>
      </c>
      <c r="E38" t="s">
        <v>313</v>
      </c>
      <c r="F38">
        <v>54</v>
      </c>
      <c r="G38">
        <v>54105</v>
      </c>
      <c r="H38" t="s">
        <v>280</v>
      </c>
      <c r="K38">
        <v>10</v>
      </c>
      <c r="L38">
        <v>0</v>
      </c>
      <c r="M38">
        <v>0</v>
      </c>
      <c r="N38">
        <v>10</v>
      </c>
      <c r="O38" s="3">
        <v>0.4</v>
      </c>
      <c r="P38" s="4">
        <f t="shared" si="0"/>
        <v>4</v>
      </c>
    </row>
    <row r="39" spans="1:16" x14ac:dyDescent="0.3">
      <c r="A39" s="1">
        <v>38</v>
      </c>
      <c r="B39" t="s">
        <v>46</v>
      </c>
      <c r="E39" t="s">
        <v>313</v>
      </c>
      <c r="F39">
        <v>54</v>
      </c>
      <c r="G39">
        <v>54105</v>
      </c>
      <c r="H39" t="s">
        <v>290</v>
      </c>
      <c r="K39">
        <v>17</v>
      </c>
      <c r="L39">
        <v>0</v>
      </c>
      <c r="M39">
        <v>2</v>
      </c>
      <c r="N39">
        <v>15</v>
      </c>
      <c r="O39" s="3">
        <v>0.82</v>
      </c>
      <c r="P39" s="4">
        <f t="shared" si="0"/>
        <v>12.299999999999999</v>
      </c>
    </row>
    <row r="40" spans="1:16" x14ac:dyDescent="0.3">
      <c r="A40" s="1">
        <v>39</v>
      </c>
      <c r="B40" t="s">
        <v>47</v>
      </c>
      <c r="E40" t="s">
        <v>313</v>
      </c>
      <c r="F40">
        <v>54</v>
      </c>
      <c r="G40">
        <v>54105</v>
      </c>
      <c r="H40" t="s">
        <v>280</v>
      </c>
      <c r="K40">
        <v>76</v>
      </c>
      <c r="L40">
        <v>0</v>
      </c>
      <c r="M40">
        <v>0</v>
      </c>
      <c r="N40">
        <v>76</v>
      </c>
      <c r="O40" s="3">
        <v>0.18</v>
      </c>
      <c r="P40" s="4">
        <f t="shared" si="0"/>
        <v>13.68</v>
      </c>
    </row>
    <row r="41" spans="1:16" x14ac:dyDescent="0.3">
      <c r="A41" s="1">
        <v>40</v>
      </c>
      <c r="B41" t="s">
        <v>48</v>
      </c>
      <c r="E41" t="s">
        <v>313</v>
      </c>
      <c r="F41">
        <v>54</v>
      </c>
      <c r="G41">
        <v>54105</v>
      </c>
      <c r="H41" t="s">
        <v>285</v>
      </c>
      <c r="K41">
        <v>137</v>
      </c>
      <c r="L41">
        <v>0</v>
      </c>
      <c r="M41">
        <v>0</v>
      </c>
      <c r="N41">
        <v>137</v>
      </c>
      <c r="O41" s="3">
        <v>0.75</v>
      </c>
      <c r="P41" s="4">
        <f t="shared" si="0"/>
        <v>102.75</v>
      </c>
    </row>
    <row r="42" spans="1:16" x14ac:dyDescent="0.3">
      <c r="A42" s="1">
        <v>41</v>
      </c>
      <c r="B42" t="s">
        <v>49</v>
      </c>
      <c r="E42" t="s">
        <v>313</v>
      </c>
      <c r="F42">
        <v>54</v>
      </c>
      <c r="G42">
        <v>54105</v>
      </c>
      <c r="H42" t="s">
        <v>285</v>
      </c>
      <c r="K42">
        <v>290</v>
      </c>
      <c r="L42">
        <v>0</v>
      </c>
      <c r="M42">
        <v>0</v>
      </c>
      <c r="N42">
        <v>290</v>
      </c>
      <c r="O42" s="3">
        <v>0.42</v>
      </c>
      <c r="P42" s="4">
        <f t="shared" si="0"/>
        <v>121.8</v>
      </c>
    </row>
    <row r="43" spans="1:16" x14ac:dyDescent="0.3">
      <c r="A43" s="1">
        <v>42</v>
      </c>
      <c r="B43" t="s">
        <v>50</v>
      </c>
      <c r="E43" t="s">
        <v>313</v>
      </c>
      <c r="F43">
        <v>54</v>
      </c>
      <c r="G43">
        <v>54105</v>
      </c>
      <c r="H43" t="s">
        <v>286</v>
      </c>
      <c r="K43">
        <v>8</v>
      </c>
      <c r="L43">
        <v>0</v>
      </c>
      <c r="M43">
        <v>0</v>
      </c>
      <c r="N43">
        <v>8</v>
      </c>
      <c r="O43" s="3">
        <v>7</v>
      </c>
      <c r="P43" s="4">
        <f t="shared" si="0"/>
        <v>56</v>
      </c>
    </row>
    <row r="44" spans="1:16" x14ac:dyDescent="0.3">
      <c r="A44" s="1">
        <v>43</v>
      </c>
      <c r="B44" t="s">
        <v>51</v>
      </c>
      <c r="E44" t="s">
        <v>313</v>
      </c>
      <c r="F44">
        <v>54</v>
      </c>
      <c r="G44">
        <v>54105</v>
      </c>
      <c r="H44" t="s">
        <v>291</v>
      </c>
      <c r="K44">
        <v>15</v>
      </c>
      <c r="L44">
        <v>0</v>
      </c>
      <c r="M44">
        <v>0</v>
      </c>
      <c r="N44">
        <v>15</v>
      </c>
      <c r="O44" s="3">
        <v>5.5</v>
      </c>
      <c r="P44" s="4">
        <f t="shared" si="0"/>
        <v>82.5</v>
      </c>
    </row>
    <row r="45" spans="1:16" x14ac:dyDescent="0.3">
      <c r="A45" s="1">
        <v>44</v>
      </c>
      <c r="B45" t="s">
        <v>52</v>
      </c>
      <c r="E45" t="s">
        <v>313</v>
      </c>
      <c r="F45">
        <v>54</v>
      </c>
      <c r="G45">
        <v>54105</v>
      </c>
      <c r="H45" t="s">
        <v>283</v>
      </c>
      <c r="K45">
        <v>31</v>
      </c>
      <c r="L45">
        <v>0</v>
      </c>
      <c r="M45">
        <v>0</v>
      </c>
      <c r="N45">
        <v>31</v>
      </c>
      <c r="O45" s="3">
        <v>4</v>
      </c>
      <c r="P45" s="4">
        <f t="shared" si="0"/>
        <v>124</v>
      </c>
    </row>
    <row r="46" spans="1:16" x14ac:dyDescent="0.3">
      <c r="A46" s="1">
        <v>45</v>
      </c>
      <c r="B46" t="s">
        <v>53</v>
      </c>
      <c r="E46" t="s">
        <v>313</v>
      </c>
      <c r="F46">
        <v>54</v>
      </c>
      <c r="G46">
        <v>54105</v>
      </c>
      <c r="H46" t="s">
        <v>283</v>
      </c>
      <c r="K46">
        <v>1</v>
      </c>
      <c r="L46">
        <v>0</v>
      </c>
      <c r="M46">
        <v>0</v>
      </c>
      <c r="N46">
        <v>1</v>
      </c>
      <c r="O46" s="3">
        <v>15.05</v>
      </c>
      <c r="P46" s="4">
        <f t="shared" si="0"/>
        <v>15.05</v>
      </c>
    </row>
    <row r="47" spans="1:16" x14ac:dyDescent="0.3">
      <c r="A47" s="1">
        <v>46</v>
      </c>
      <c r="B47" t="s">
        <v>54</v>
      </c>
      <c r="E47" t="s">
        <v>313</v>
      </c>
      <c r="F47">
        <v>54</v>
      </c>
      <c r="G47">
        <v>54105</v>
      </c>
      <c r="H47" t="s">
        <v>283</v>
      </c>
      <c r="K47">
        <v>1</v>
      </c>
      <c r="L47">
        <v>0</v>
      </c>
      <c r="M47">
        <v>0</v>
      </c>
      <c r="N47">
        <v>1</v>
      </c>
      <c r="O47" s="3">
        <v>15.05</v>
      </c>
      <c r="P47" s="4">
        <f t="shared" si="0"/>
        <v>15.05</v>
      </c>
    </row>
    <row r="48" spans="1:16" x14ac:dyDescent="0.3">
      <c r="A48" s="1">
        <v>47</v>
      </c>
      <c r="B48" t="s">
        <v>55</v>
      </c>
      <c r="E48" t="s">
        <v>313</v>
      </c>
      <c r="F48">
        <v>54</v>
      </c>
      <c r="G48">
        <v>54105</v>
      </c>
      <c r="H48" t="s">
        <v>283</v>
      </c>
      <c r="K48">
        <v>3</v>
      </c>
      <c r="L48">
        <v>0</v>
      </c>
      <c r="M48">
        <v>0</v>
      </c>
      <c r="N48">
        <v>3</v>
      </c>
      <c r="O48" s="3">
        <v>15.04</v>
      </c>
      <c r="P48" s="4">
        <f t="shared" si="0"/>
        <v>45.12</v>
      </c>
    </row>
    <row r="49" spans="1:16" x14ac:dyDescent="0.3">
      <c r="A49" s="1">
        <v>48</v>
      </c>
      <c r="B49" t="s">
        <v>56</v>
      </c>
      <c r="E49" t="s">
        <v>313</v>
      </c>
      <c r="F49">
        <v>54</v>
      </c>
      <c r="G49">
        <v>54105</v>
      </c>
      <c r="H49" t="s">
        <v>279</v>
      </c>
      <c r="K49">
        <v>18</v>
      </c>
      <c r="L49">
        <v>0</v>
      </c>
      <c r="M49">
        <v>0</v>
      </c>
      <c r="N49">
        <v>18</v>
      </c>
      <c r="O49" s="3">
        <v>0.08</v>
      </c>
      <c r="P49" s="4">
        <f t="shared" si="0"/>
        <v>1.44</v>
      </c>
    </row>
    <row r="50" spans="1:16" x14ac:dyDescent="0.3">
      <c r="A50" s="1">
        <v>49</v>
      </c>
      <c r="B50" t="s">
        <v>57</v>
      </c>
      <c r="E50" t="s">
        <v>313</v>
      </c>
      <c r="F50">
        <v>54</v>
      </c>
      <c r="G50">
        <v>54106</v>
      </c>
      <c r="H50" t="s">
        <v>292</v>
      </c>
      <c r="K50">
        <v>24</v>
      </c>
      <c r="L50">
        <v>0</v>
      </c>
      <c r="M50">
        <v>3</v>
      </c>
      <c r="N50">
        <v>21</v>
      </c>
      <c r="O50" s="3">
        <v>5.99</v>
      </c>
      <c r="P50" s="4">
        <f t="shared" si="0"/>
        <v>125.79</v>
      </c>
    </row>
    <row r="51" spans="1:16" x14ac:dyDescent="0.3">
      <c r="A51" s="1">
        <v>50</v>
      </c>
      <c r="B51" t="s">
        <v>58</v>
      </c>
      <c r="E51" t="s">
        <v>313</v>
      </c>
      <c r="F51">
        <v>54</v>
      </c>
      <c r="G51">
        <v>54107</v>
      </c>
      <c r="H51" t="s">
        <v>279</v>
      </c>
      <c r="K51">
        <v>75</v>
      </c>
      <c r="L51">
        <v>0</v>
      </c>
      <c r="M51">
        <v>0</v>
      </c>
      <c r="N51">
        <v>75</v>
      </c>
      <c r="O51" s="3">
        <v>0.39</v>
      </c>
      <c r="P51" s="4">
        <f t="shared" si="0"/>
        <v>29.25</v>
      </c>
    </row>
    <row r="52" spans="1:16" x14ac:dyDescent="0.3">
      <c r="A52" s="1">
        <v>51</v>
      </c>
      <c r="B52" t="s">
        <v>59</v>
      </c>
      <c r="E52" t="s">
        <v>313</v>
      </c>
      <c r="F52">
        <v>54</v>
      </c>
      <c r="G52">
        <v>54107</v>
      </c>
      <c r="H52" t="s">
        <v>293</v>
      </c>
      <c r="K52">
        <v>187</v>
      </c>
      <c r="L52">
        <v>0</v>
      </c>
      <c r="M52">
        <v>36</v>
      </c>
      <c r="N52">
        <v>151</v>
      </c>
      <c r="O52" s="3">
        <v>1.78</v>
      </c>
      <c r="P52" s="4">
        <f t="shared" si="0"/>
        <v>268.78000000000003</v>
      </c>
    </row>
    <row r="53" spans="1:16" x14ac:dyDescent="0.3">
      <c r="A53" s="1">
        <v>52</v>
      </c>
      <c r="B53" t="s">
        <v>60</v>
      </c>
      <c r="E53" t="s">
        <v>313</v>
      </c>
      <c r="F53">
        <v>54</v>
      </c>
      <c r="G53">
        <v>54107</v>
      </c>
      <c r="H53" t="s">
        <v>294</v>
      </c>
      <c r="K53">
        <v>25</v>
      </c>
      <c r="L53">
        <v>0</v>
      </c>
      <c r="M53">
        <v>0</v>
      </c>
      <c r="N53">
        <v>25</v>
      </c>
      <c r="O53" s="3">
        <v>44.72</v>
      </c>
      <c r="P53" s="4">
        <f t="shared" si="0"/>
        <v>1118</v>
      </c>
    </row>
    <row r="54" spans="1:16" x14ac:dyDescent="0.3">
      <c r="A54" s="1">
        <v>53</v>
      </c>
      <c r="B54" t="s">
        <v>61</v>
      </c>
      <c r="E54" t="s">
        <v>313</v>
      </c>
      <c r="F54">
        <v>54</v>
      </c>
      <c r="G54">
        <v>54107</v>
      </c>
      <c r="H54" t="s">
        <v>285</v>
      </c>
      <c r="K54">
        <v>31</v>
      </c>
      <c r="L54">
        <v>0</v>
      </c>
      <c r="M54">
        <v>0</v>
      </c>
      <c r="N54">
        <v>31</v>
      </c>
      <c r="O54" s="3">
        <v>0.25</v>
      </c>
      <c r="P54" s="4">
        <f t="shared" si="0"/>
        <v>7.75</v>
      </c>
    </row>
    <row r="55" spans="1:16" x14ac:dyDescent="0.3">
      <c r="A55" s="1">
        <v>54</v>
      </c>
      <c r="B55" t="s">
        <v>62</v>
      </c>
      <c r="E55" t="s">
        <v>313</v>
      </c>
      <c r="F55">
        <v>54</v>
      </c>
      <c r="G55">
        <v>54107</v>
      </c>
      <c r="H55" t="s">
        <v>293</v>
      </c>
      <c r="K55">
        <v>6</v>
      </c>
      <c r="L55">
        <v>0</v>
      </c>
      <c r="M55">
        <v>0</v>
      </c>
      <c r="N55">
        <v>6</v>
      </c>
      <c r="O55" s="3">
        <v>3.24</v>
      </c>
      <c r="P55" s="4">
        <f t="shared" si="0"/>
        <v>19.440000000000001</v>
      </c>
    </row>
    <row r="56" spans="1:16" x14ac:dyDescent="0.3">
      <c r="A56" s="1">
        <v>55</v>
      </c>
      <c r="B56" t="s">
        <v>63</v>
      </c>
      <c r="E56" t="s">
        <v>313</v>
      </c>
      <c r="F56">
        <v>54</v>
      </c>
      <c r="G56">
        <v>54107</v>
      </c>
      <c r="H56" t="s">
        <v>288</v>
      </c>
      <c r="K56">
        <v>8</v>
      </c>
      <c r="L56">
        <v>0</v>
      </c>
      <c r="M56">
        <v>0</v>
      </c>
      <c r="N56">
        <v>8</v>
      </c>
      <c r="O56" s="3">
        <v>1.9</v>
      </c>
      <c r="P56" s="4">
        <f t="shared" si="0"/>
        <v>15.2</v>
      </c>
    </row>
    <row r="57" spans="1:16" x14ac:dyDescent="0.3">
      <c r="A57" s="1">
        <v>56</v>
      </c>
      <c r="B57" t="s">
        <v>64</v>
      </c>
      <c r="E57" t="s">
        <v>313</v>
      </c>
      <c r="F57">
        <v>54</v>
      </c>
      <c r="G57">
        <v>54107</v>
      </c>
      <c r="H57" t="s">
        <v>285</v>
      </c>
      <c r="K57">
        <v>17</v>
      </c>
      <c r="L57">
        <v>0</v>
      </c>
      <c r="M57">
        <v>0</v>
      </c>
      <c r="N57">
        <v>17</v>
      </c>
      <c r="O57" s="3">
        <v>4.0999999999999996</v>
      </c>
      <c r="P57" s="4">
        <f t="shared" si="0"/>
        <v>69.699999999999989</v>
      </c>
    </row>
    <row r="58" spans="1:16" x14ac:dyDescent="0.3">
      <c r="A58" s="1">
        <v>57</v>
      </c>
      <c r="B58" t="s">
        <v>65</v>
      </c>
      <c r="E58" t="s">
        <v>313</v>
      </c>
      <c r="F58">
        <v>54</v>
      </c>
      <c r="G58">
        <v>54107</v>
      </c>
      <c r="H58" t="s">
        <v>285</v>
      </c>
      <c r="K58">
        <v>16</v>
      </c>
      <c r="L58">
        <v>0</v>
      </c>
      <c r="M58">
        <v>0</v>
      </c>
      <c r="N58">
        <v>16</v>
      </c>
      <c r="O58" s="3">
        <v>0.25</v>
      </c>
      <c r="P58" s="4">
        <f t="shared" si="0"/>
        <v>4</v>
      </c>
    </row>
    <row r="59" spans="1:16" x14ac:dyDescent="0.3">
      <c r="A59" s="1">
        <v>58</v>
      </c>
      <c r="B59" t="s">
        <v>66</v>
      </c>
      <c r="E59" t="s">
        <v>313</v>
      </c>
      <c r="F59">
        <v>54</v>
      </c>
      <c r="G59">
        <v>54107</v>
      </c>
      <c r="H59" t="s">
        <v>294</v>
      </c>
      <c r="K59">
        <v>3</v>
      </c>
      <c r="L59">
        <v>0</v>
      </c>
      <c r="M59">
        <v>0</v>
      </c>
      <c r="N59">
        <v>3</v>
      </c>
      <c r="O59" s="3">
        <v>6.18</v>
      </c>
      <c r="P59" s="4">
        <f t="shared" si="0"/>
        <v>18.54</v>
      </c>
    </row>
    <row r="60" spans="1:16" x14ac:dyDescent="0.3">
      <c r="A60" s="1">
        <v>59</v>
      </c>
      <c r="B60" t="s">
        <v>67</v>
      </c>
      <c r="E60" t="s">
        <v>313</v>
      </c>
      <c r="F60">
        <v>54</v>
      </c>
      <c r="G60">
        <v>54107</v>
      </c>
      <c r="H60" t="s">
        <v>295</v>
      </c>
      <c r="K60">
        <v>0</v>
      </c>
      <c r="L60">
        <v>12</v>
      </c>
      <c r="M60">
        <v>0</v>
      </c>
      <c r="N60">
        <v>12</v>
      </c>
      <c r="O60" s="3">
        <v>11.84</v>
      </c>
      <c r="P60" s="4">
        <f t="shared" si="0"/>
        <v>142.07999999999998</v>
      </c>
    </row>
    <row r="61" spans="1:16" x14ac:dyDescent="0.3">
      <c r="A61" s="1">
        <v>60</v>
      </c>
      <c r="B61" t="s">
        <v>68</v>
      </c>
      <c r="E61" t="s">
        <v>313</v>
      </c>
      <c r="F61">
        <v>54</v>
      </c>
      <c r="G61">
        <v>54107</v>
      </c>
      <c r="H61" t="s">
        <v>294</v>
      </c>
      <c r="K61">
        <v>10</v>
      </c>
      <c r="L61">
        <v>0</v>
      </c>
      <c r="M61">
        <v>0</v>
      </c>
      <c r="N61">
        <v>10</v>
      </c>
      <c r="O61" s="3">
        <v>21.51</v>
      </c>
      <c r="P61" s="4">
        <f t="shared" si="0"/>
        <v>215.10000000000002</v>
      </c>
    </row>
    <row r="62" spans="1:16" x14ac:dyDescent="0.3">
      <c r="A62" s="1">
        <v>61</v>
      </c>
      <c r="B62" t="s">
        <v>69</v>
      </c>
      <c r="E62" t="s">
        <v>313</v>
      </c>
      <c r="F62">
        <v>54</v>
      </c>
      <c r="G62">
        <v>54107</v>
      </c>
      <c r="H62" t="s">
        <v>294</v>
      </c>
      <c r="K62">
        <v>0</v>
      </c>
      <c r="L62">
        <v>50</v>
      </c>
      <c r="M62">
        <v>0</v>
      </c>
      <c r="N62">
        <v>50</v>
      </c>
      <c r="O62" s="3">
        <v>26.79</v>
      </c>
      <c r="P62" s="4">
        <f t="shared" si="0"/>
        <v>1339.5</v>
      </c>
    </row>
    <row r="63" spans="1:16" x14ac:dyDescent="0.3">
      <c r="A63" s="1">
        <v>62</v>
      </c>
      <c r="B63" t="s">
        <v>70</v>
      </c>
      <c r="E63" t="s">
        <v>313</v>
      </c>
      <c r="F63">
        <v>54</v>
      </c>
      <c r="G63">
        <v>54107</v>
      </c>
      <c r="H63" t="s">
        <v>285</v>
      </c>
      <c r="K63">
        <v>8</v>
      </c>
      <c r="L63">
        <v>0</v>
      </c>
      <c r="M63">
        <v>0</v>
      </c>
      <c r="N63">
        <v>8</v>
      </c>
      <c r="O63" s="3">
        <v>0.1</v>
      </c>
      <c r="P63" s="4">
        <f t="shared" si="0"/>
        <v>0.8</v>
      </c>
    </row>
    <row r="64" spans="1:16" x14ac:dyDescent="0.3">
      <c r="A64" s="1">
        <v>63</v>
      </c>
      <c r="B64" t="s">
        <v>71</v>
      </c>
      <c r="E64" t="s">
        <v>313</v>
      </c>
      <c r="F64">
        <v>54</v>
      </c>
      <c r="G64">
        <v>54107</v>
      </c>
      <c r="H64" t="s">
        <v>279</v>
      </c>
      <c r="K64">
        <v>82</v>
      </c>
      <c r="L64">
        <v>0</v>
      </c>
      <c r="M64">
        <v>0</v>
      </c>
      <c r="N64">
        <v>82</v>
      </c>
      <c r="O64" s="3">
        <v>0.24</v>
      </c>
      <c r="P64" s="4">
        <f t="shared" si="0"/>
        <v>19.68</v>
      </c>
    </row>
    <row r="65" spans="1:16" x14ac:dyDescent="0.3">
      <c r="A65" s="1">
        <v>64</v>
      </c>
      <c r="B65" t="s">
        <v>72</v>
      </c>
      <c r="E65" t="s">
        <v>313</v>
      </c>
      <c r="F65">
        <v>54</v>
      </c>
      <c r="G65">
        <v>54107</v>
      </c>
      <c r="H65" t="s">
        <v>279</v>
      </c>
      <c r="K65">
        <v>16</v>
      </c>
      <c r="L65">
        <v>0</v>
      </c>
      <c r="M65">
        <v>0</v>
      </c>
      <c r="N65">
        <v>16</v>
      </c>
      <c r="O65" s="3">
        <v>0.2</v>
      </c>
      <c r="P65" s="4">
        <f t="shared" si="0"/>
        <v>3.2</v>
      </c>
    </row>
    <row r="66" spans="1:16" x14ac:dyDescent="0.3">
      <c r="A66" s="1">
        <v>65</v>
      </c>
      <c r="B66" t="s">
        <v>73</v>
      </c>
      <c r="E66" t="s">
        <v>313</v>
      </c>
      <c r="F66">
        <v>54</v>
      </c>
      <c r="G66">
        <v>54107</v>
      </c>
      <c r="H66" t="s">
        <v>289</v>
      </c>
      <c r="K66">
        <v>100</v>
      </c>
      <c r="L66">
        <v>0</v>
      </c>
      <c r="M66">
        <v>0</v>
      </c>
      <c r="N66">
        <v>100</v>
      </c>
      <c r="O66" s="3">
        <v>0.84</v>
      </c>
      <c r="P66" s="4">
        <f t="shared" si="0"/>
        <v>84</v>
      </c>
    </row>
    <row r="67" spans="1:16" x14ac:dyDescent="0.3">
      <c r="A67" s="1">
        <v>66</v>
      </c>
      <c r="B67" t="s">
        <v>74</v>
      </c>
      <c r="E67" t="s">
        <v>313</v>
      </c>
      <c r="F67">
        <v>54</v>
      </c>
      <c r="G67">
        <v>54107</v>
      </c>
      <c r="H67" t="s">
        <v>293</v>
      </c>
      <c r="K67">
        <v>11</v>
      </c>
      <c r="L67">
        <v>0</v>
      </c>
      <c r="M67">
        <v>0</v>
      </c>
      <c r="N67">
        <v>11</v>
      </c>
      <c r="O67" s="3">
        <v>52.75</v>
      </c>
      <c r="P67" s="4">
        <f t="shared" ref="P67:P130" si="1">O67*N67</f>
        <v>580.25</v>
      </c>
    </row>
    <row r="68" spans="1:16" x14ac:dyDescent="0.3">
      <c r="A68" s="1">
        <v>67</v>
      </c>
      <c r="B68" t="s">
        <v>75</v>
      </c>
      <c r="E68" t="s">
        <v>313</v>
      </c>
      <c r="F68">
        <v>54</v>
      </c>
      <c r="G68">
        <v>54107</v>
      </c>
      <c r="H68" t="s">
        <v>285</v>
      </c>
      <c r="K68">
        <v>4</v>
      </c>
      <c r="L68">
        <v>0</v>
      </c>
      <c r="M68">
        <v>0</v>
      </c>
      <c r="N68">
        <v>4</v>
      </c>
      <c r="O68" s="3">
        <v>0.1</v>
      </c>
      <c r="P68" s="4">
        <f t="shared" si="1"/>
        <v>0.4</v>
      </c>
    </row>
    <row r="69" spans="1:16" x14ac:dyDescent="0.3">
      <c r="A69" s="1">
        <v>68</v>
      </c>
      <c r="B69" t="s">
        <v>277</v>
      </c>
      <c r="E69" t="s">
        <v>313</v>
      </c>
      <c r="F69">
        <v>54</v>
      </c>
      <c r="G69">
        <v>54107</v>
      </c>
      <c r="H69" t="s">
        <v>301</v>
      </c>
      <c r="K69">
        <v>2</v>
      </c>
      <c r="L69">
        <v>0</v>
      </c>
      <c r="M69">
        <v>0</v>
      </c>
      <c r="N69">
        <v>2</v>
      </c>
      <c r="O69" s="3">
        <v>97.11</v>
      </c>
      <c r="P69" s="4">
        <f t="shared" si="1"/>
        <v>194.22</v>
      </c>
    </row>
    <row r="70" spans="1:16" x14ac:dyDescent="0.3">
      <c r="A70" s="1">
        <v>69</v>
      </c>
      <c r="B70" t="s">
        <v>278</v>
      </c>
      <c r="E70" t="s">
        <v>313</v>
      </c>
      <c r="F70">
        <v>54</v>
      </c>
      <c r="G70">
        <v>54107</v>
      </c>
      <c r="H70" t="s">
        <v>293</v>
      </c>
      <c r="K70">
        <v>364</v>
      </c>
      <c r="L70">
        <v>0</v>
      </c>
      <c r="M70">
        <v>0</v>
      </c>
      <c r="N70">
        <v>364</v>
      </c>
      <c r="O70" s="3">
        <v>2.0499999999999998</v>
      </c>
      <c r="P70" s="4">
        <f t="shared" si="1"/>
        <v>746.19999999999993</v>
      </c>
    </row>
    <row r="71" spans="1:16" x14ac:dyDescent="0.3">
      <c r="A71" s="1">
        <v>70</v>
      </c>
      <c r="B71" t="s">
        <v>76</v>
      </c>
      <c r="E71" t="s">
        <v>313</v>
      </c>
      <c r="F71">
        <v>54</v>
      </c>
      <c r="G71">
        <v>54107</v>
      </c>
      <c r="H71" t="s">
        <v>285</v>
      </c>
      <c r="K71">
        <v>10</v>
      </c>
      <c r="L71">
        <v>0</v>
      </c>
      <c r="M71">
        <v>0</v>
      </c>
      <c r="N71">
        <v>10</v>
      </c>
      <c r="O71" s="3">
        <v>0.25</v>
      </c>
      <c r="P71" s="4">
        <f t="shared" si="1"/>
        <v>2.5</v>
      </c>
    </row>
    <row r="72" spans="1:16" x14ac:dyDescent="0.3">
      <c r="A72" s="1">
        <v>71</v>
      </c>
      <c r="B72" t="s">
        <v>77</v>
      </c>
      <c r="E72" t="s">
        <v>313</v>
      </c>
      <c r="F72">
        <v>54</v>
      </c>
      <c r="G72">
        <v>54107</v>
      </c>
      <c r="H72" t="s">
        <v>279</v>
      </c>
      <c r="K72">
        <v>10</v>
      </c>
      <c r="L72">
        <v>0</v>
      </c>
      <c r="M72">
        <v>0</v>
      </c>
      <c r="N72">
        <v>10</v>
      </c>
      <c r="O72" s="3">
        <v>0.19</v>
      </c>
      <c r="P72" s="4">
        <f t="shared" si="1"/>
        <v>1.9</v>
      </c>
    </row>
    <row r="73" spans="1:16" x14ac:dyDescent="0.3">
      <c r="A73" s="1">
        <v>72</v>
      </c>
      <c r="B73" t="s">
        <v>78</v>
      </c>
      <c r="E73" t="s">
        <v>313</v>
      </c>
      <c r="F73">
        <v>54</v>
      </c>
      <c r="G73">
        <v>54107</v>
      </c>
      <c r="H73" t="s">
        <v>289</v>
      </c>
      <c r="K73">
        <v>0</v>
      </c>
      <c r="L73">
        <v>750</v>
      </c>
      <c r="M73">
        <v>250</v>
      </c>
      <c r="N73">
        <v>500</v>
      </c>
      <c r="O73" s="3">
        <v>1.98</v>
      </c>
      <c r="P73" s="4">
        <f t="shared" si="1"/>
        <v>990</v>
      </c>
    </row>
    <row r="74" spans="1:16" x14ac:dyDescent="0.3">
      <c r="A74" s="1">
        <v>73</v>
      </c>
      <c r="B74" t="s">
        <v>79</v>
      </c>
      <c r="E74" t="s">
        <v>313</v>
      </c>
      <c r="F74">
        <v>54</v>
      </c>
      <c r="G74">
        <v>54107</v>
      </c>
      <c r="H74" t="s">
        <v>294</v>
      </c>
      <c r="K74">
        <v>4</v>
      </c>
      <c r="L74">
        <v>0</v>
      </c>
      <c r="M74">
        <v>0</v>
      </c>
      <c r="N74">
        <v>4</v>
      </c>
      <c r="O74" s="3">
        <v>12.82</v>
      </c>
      <c r="P74" s="4">
        <f t="shared" si="1"/>
        <v>51.28</v>
      </c>
    </row>
    <row r="75" spans="1:16" x14ac:dyDescent="0.3">
      <c r="A75" s="1">
        <v>74</v>
      </c>
      <c r="B75" t="s">
        <v>80</v>
      </c>
      <c r="E75" t="s">
        <v>313</v>
      </c>
      <c r="F75">
        <v>54</v>
      </c>
      <c r="G75">
        <v>54107</v>
      </c>
      <c r="H75" t="s">
        <v>295</v>
      </c>
      <c r="K75">
        <v>15</v>
      </c>
      <c r="L75">
        <v>0</v>
      </c>
      <c r="M75">
        <v>0</v>
      </c>
      <c r="N75">
        <v>15</v>
      </c>
      <c r="O75" s="3">
        <v>0.52</v>
      </c>
      <c r="P75" s="4">
        <f t="shared" si="1"/>
        <v>7.8000000000000007</v>
      </c>
    </row>
    <row r="76" spans="1:16" x14ac:dyDescent="0.3">
      <c r="A76" s="1">
        <v>75</v>
      </c>
      <c r="B76" t="s">
        <v>81</v>
      </c>
      <c r="E76" t="s">
        <v>313</v>
      </c>
      <c r="F76">
        <v>54</v>
      </c>
      <c r="G76">
        <v>54107</v>
      </c>
      <c r="H76" t="s">
        <v>279</v>
      </c>
      <c r="K76">
        <v>2</v>
      </c>
      <c r="L76">
        <v>0</v>
      </c>
      <c r="M76">
        <v>0</v>
      </c>
      <c r="N76">
        <v>2</v>
      </c>
      <c r="O76" s="3">
        <v>1.99</v>
      </c>
      <c r="P76" s="4">
        <f t="shared" si="1"/>
        <v>3.98</v>
      </c>
    </row>
    <row r="77" spans="1:16" x14ac:dyDescent="0.3">
      <c r="A77" s="1">
        <v>76</v>
      </c>
      <c r="B77" t="s">
        <v>82</v>
      </c>
      <c r="E77" t="s">
        <v>313</v>
      </c>
      <c r="F77">
        <v>54</v>
      </c>
      <c r="G77">
        <v>54107</v>
      </c>
      <c r="H77" t="s">
        <v>279</v>
      </c>
      <c r="K77">
        <v>7</v>
      </c>
      <c r="L77">
        <v>0</v>
      </c>
      <c r="M77">
        <v>0</v>
      </c>
      <c r="N77">
        <v>7</v>
      </c>
      <c r="O77" s="3">
        <v>0.15</v>
      </c>
      <c r="P77" s="4">
        <f t="shared" si="1"/>
        <v>1.05</v>
      </c>
    </row>
    <row r="78" spans="1:16" x14ac:dyDescent="0.3">
      <c r="A78" s="1">
        <v>77</v>
      </c>
      <c r="B78" t="s">
        <v>83</v>
      </c>
      <c r="E78" t="s">
        <v>313</v>
      </c>
      <c r="F78">
        <v>54</v>
      </c>
      <c r="G78">
        <v>54107</v>
      </c>
      <c r="H78" t="s">
        <v>279</v>
      </c>
      <c r="K78">
        <v>6</v>
      </c>
      <c r="L78">
        <v>0</v>
      </c>
      <c r="M78">
        <v>0</v>
      </c>
      <c r="N78">
        <v>6</v>
      </c>
      <c r="O78" s="3">
        <v>25.5</v>
      </c>
      <c r="P78" s="4">
        <f t="shared" si="1"/>
        <v>153</v>
      </c>
    </row>
    <row r="79" spans="1:16" x14ac:dyDescent="0.3">
      <c r="A79" s="1">
        <v>78</v>
      </c>
      <c r="B79" t="s">
        <v>84</v>
      </c>
      <c r="E79" t="s">
        <v>313</v>
      </c>
      <c r="F79">
        <v>54</v>
      </c>
      <c r="G79">
        <v>54107</v>
      </c>
      <c r="H79" t="s">
        <v>303</v>
      </c>
      <c r="K79">
        <v>0</v>
      </c>
      <c r="L79">
        <v>25</v>
      </c>
      <c r="M79">
        <v>24</v>
      </c>
      <c r="N79">
        <v>1</v>
      </c>
      <c r="O79" s="3">
        <v>5.27</v>
      </c>
      <c r="P79" s="4">
        <f t="shared" si="1"/>
        <v>5.27</v>
      </c>
    </row>
    <row r="80" spans="1:16" x14ac:dyDescent="0.3">
      <c r="A80" s="1">
        <v>79</v>
      </c>
      <c r="B80" t="s">
        <v>85</v>
      </c>
      <c r="E80" t="s">
        <v>313</v>
      </c>
      <c r="F80">
        <v>54</v>
      </c>
      <c r="G80">
        <v>54107</v>
      </c>
      <c r="H80" t="s">
        <v>279</v>
      </c>
      <c r="K80">
        <v>83</v>
      </c>
      <c r="L80">
        <v>0</v>
      </c>
      <c r="M80">
        <v>0</v>
      </c>
      <c r="N80">
        <v>83</v>
      </c>
      <c r="O80" s="3">
        <v>4.75</v>
      </c>
      <c r="P80" s="4">
        <f t="shared" si="1"/>
        <v>394.25</v>
      </c>
    </row>
    <row r="81" spans="1:16" x14ac:dyDescent="0.3">
      <c r="A81" s="1">
        <v>80</v>
      </c>
      <c r="B81" t="s">
        <v>86</v>
      </c>
      <c r="E81" t="s">
        <v>313</v>
      </c>
      <c r="F81">
        <v>54</v>
      </c>
      <c r="G81">
        <v>54107</v>
      </c>
      <c r="H81" t="s">
        <v>279</v>
      </c>
      <c r="K81">
        <v>3</v>
      </c>
      <c r="L81">
        <v>0</v>
      </c>
      <c r="M81">
        <v>1</v>
      </c>
      <c r="N81">
        <v>2</v>
      </c>
      <c r="O81" s="3">
        <v>9.9499999999999993</v>
      </c>
      <c r="P81" s="4">
        <f t="shared" si="1"/>
        <v>19.899999999999999</v>
      </c>
    </row>
    <row r="82" spans="1:16" x14ac:dyDescent="0.3">
      <c r="A82" s="1">
        <v>81</v>
      </c>
      <c r="B82" t="s">
        <v>87</v>
      </c>
      <c r="E82" t="s">
        <v>313</v>
      </c>
      <c r="F82">
        <v>54</v>
      </c>
      <c r="G82">
        <v>54107</v>
      </c>
      <c r="H82" t="s">
        <v>304</v>
      </c>
      <c r="K82">
        <v>10</v>
      </c>
      <c r="L82">
        <v>0</v>
      </c>
      <c r="M82">
        <v>4</v>
      </c>
      <c r="N82">
        <v>6</v>
      </c>
      <c r="O82" s="3">
        <v>1.79</v>
      </c>
      <c r="P82" s="4">
        <f t="shared" si="1"/>
        <v>10.74</v>
      </c>
    </row>
    <row r="83" spans="1:16" x14ac:dyDescent="0.3">
      <c r="A83" s="1">
        <v>82</v>
      </c>
      <c r="B83" t="s">
        <v>88</v>
      </c>
      <c r="E83" t="s">
        <v>313</v>
      </c>
      <c r="F83">
        <v>54</v>
      </c>
      <c r="G83">
        <v>54107</v>
      </c>
      <c r="H83" t="s">
        <v>294</v>
      </c>
      <c r="K83">
        <v>5</v>
      </c>
      <c r="L83">
        <v>0</v>
      </c>
      <c r="M83">
        <v>0</v>
      </c>
      <c r="N83">
        <v>5</v>
      </c>
      <c r="O83" s="3">
        <v>9.14</v>
      </c>
      <c r="P83" s="4">
        <f t="shared" si="1"/>
        <v>45.7</v>
      </c>
    </row>
    <row r="84" spans="1:16" x14ac:dyDescent="0.3">
      <c r="A84" s="1">
        <v>83</v>
      </c>
      <c r="B84" t="s">
        <v>89</v>
      </c>
      <c r="E84" t="s">
        <v>313</v>
      </c>
      <c r="F84">
        <v>54</v>
      </c>
      <c r="G84">
        <v>54107</v>
      </c>
      <c r="H84" t="s">
        <v>294</v>
      </c>
      <c r="K84">
        <v>15</v>
      </c>
      <c r="L84">
        <v>0</v>
      </c>
      <c r="M84">
        <v>0</v>
      </c>
      <c r="N84">
        <v>15</v>
      </c>
      <c r="O84" s="3">
        <v>17.11</v>
      </c>
      <c r="P84" s="4">
        <f t="shared" si="1"/>
        <v>256.64999999999998</v>
      </c>
    </row>
    <row r="85" spans="1:16" x14ac:dyDescent="0.3">
      <c r="A85" s="1">
        <v>84</v>
      </c>
      <c r="B85" t="s">
        <v>90</v>
      </c>
      <c r="E85" t="s">
        <v>313</v>
      </c>
      <c r="F85">
        <v>54</v>
      </c>
      <c r="G85">
        <v>54107</v>
      </c>
      <c r="H85" t="s">
        <v>279</v>
      </c>
      <c r="K85">
        <v>15</v>
      </c>
      <c r="L85">
        <v>0</v>
      </c>
      <c r="M85">
        <v>0</v>
      </c>
      <c r="N85">
        <v>15</v>
      </c>
      <c r="O85" s="3">
        <v>1.78</v>
      </c>
      <c r="P85" s="4">
        <f t="shared" si="1"/>
        <v>26.7</v>
      </c>
    </row>
    <row r="86" spans="1:16" x14ac:dyDescent="0.3">
      <c r="A86" s="1">
        <v>85</v>
      </c>
      <c r="B86" t="s">
        <v>91</v>
      </c>
      <c r="E86" t="s">
        <v>313</v>
      </c>
      <c r="F86">
        <v>54</v>
      </c>
      <c r="G86">
        <v>54107</v>
      </c>
      <c r="H86" t="s">
        <v>305</v>
      </c>
      <c r="K86">
        <v>1540</v>
      </c>
      <c r="L86">
        <v>0</v>
      </c>
      <c r="M86">
        <v>0</v>
      </c>
      <c r="N86">
        <v>1540</v>
      </c>
      <c r="O86" s="3">
        <v>0.77</v>
      </c>
      <c r="P86" s="4">
        <f t="shared" si="1"/>
        <v>1185.8</v>
      </c>
    </row>
    <row r="87" spans="1:16" x14ac:dyDescent="0.3">
      <c r="A87" s="1">
        <v>86</v>
      </c>
      <c r="B87" t="s">
        <v>92</v>
      </c>
      <c r="E87" t="s">
        <v>313</v>
      </c>
      <c r="F87">
        <v>54</v>
      </c>
      <c r="G87">
        <v>54110</v>
      </c>
      <c r="H87" t="s">
        <v>285</v>
      </c>
      <c r="K87">
        <v>1690</v>
      </c>
      <c r="L87">
        <v>0</v>
      </c>
      <c r="M87">
        <v>300</v>
      </c>
      <c r="N87">
        <v>1390</v>
      </c>
      <c r="O87" s="3">
        <v>10</v>
      </c>
      <c r="P87" s="4">
        <f t="shared" si="1"/>
        <v>13900</v>
      </c>
    </row>
    <row r="88" spans="1:16" x14ac:dyDescent="0.3">
      <c r="A88" s="1">
        <v>87</v>
      </c>
      <c r="B88" t="s">
        <v>93</v>
      </c>
      <c r="E88" t="s">
        <v>313</v>
      </c>
      <c r="F88">
        <v>54</v>
      </c>
      <c r="G88">
        <v>54112</v>
      </c>
      <c r="H88" t="s">
        <v>279</v>
      </c>
      <c r="K88">
        <v>275</v>
      </c>
      <c r="L88">
        <v>0</v>
      </c>
      <c r="M88">
        <v>0</v>
      </c>
      <c r="N88">
        <v>275</v>
      </c>
      <c r="O88" s="3">
        <v>0.03</v>
      </c>
      <c r="P88" s="4">
        <f t="shared" si="1"/>
        <v>8.25</v>
      </c>
    </row>
    <row r="89" spans="1:16" x14ac:dyDescent="0.3">
      <c r="A89" s="1">
        <v>88</v>
      </c>
      <c r="B89" t="s">
        <v>94</v>
      </c>
      <c r="E89" t="s">
        <v>313</v>
      </c>
      <c r="F89">
        <v>54</v>
      </c>
      <c r="G89">
        <v>54112</v>
      </c>
      <c r="H89" t="s">
        <v>285</v>
      </c>
      <c r="K89">
        <v>180</v>
      </c>
      <c r="L89">
        <v>0</v>
      </c>
      <c r="M89">
        <v>0</v>
      </c>
      <c r="N89">
        <v>180</v>
      </c>
      <c r="O89" s="3">
        <v>0.02</v>
      </c>
      <c r="P89" s="4">
        <f t="shared" si="1"/>
        <v>3.6</v>
      </c>
    </row>
    <row r="90" spans="1:16" x14ac:dyDescent="0.3">
      <c r="A90" s="1">
        <v>89</v>
      </c>
      <c r="B90" t="s">
        <v>95</v>
      </c>
      <c r="E90" t="s">
        <v>313</v>
      </c>
      <c r="F90">
        <v>54</v>
      </c>
      <c r="G90">
        <v>54112</v>
      </c>
      <c r="H90" t="s">
        <v>285</v>
      </c>
      <c r="K90">
        <v>285</v>
      </c>
      <c r="L90">
        <v>0</v>
      </c>
      <c r="M90">
        <v>0</v>
      </c>
      <c r="N90">
        <v>285</v>
      </c>
      <c r="O90" s="3">
        <v>0.79</v>
      </c>
      <c r="P90" s="4">
        <f t="shared" si="1"/>
        <v>225.15</v>
      </c>
    </row>
    <row r="91" spans="1:16" x14ac:dyDescent="0.3">
      <c r="A91" s="1">
        <v>90</v>
      </c>
      <c r="B91" t="s">
        <v>96</v>
      </c>
      <c r="E91" t="s">
        <v>313</v>
      </c>
      <c r="F91">
        <v>54</v>
      </c>
      <c r="G91">
        <v>54112</v>
      </c>
      <c r="H91" t="s">
        <v>285</v>
      </c>
      <c r="K91">
        <v>300</v>
      </c>
      <c r="L91">
        <v>0</v>
      </c>
      <c r="M91">
        <v>0</v>
      </c>
      <c r="N91">
        <v>300</v>
      </c>
      <c r="O91" s="3">
        <v>0.17</v>
      </c>
      <c r="P91" s="4">
        <f t="shared" si="1"/>
        <v>51.000000000000007</v>
      </c>
    </row>
    <row r="92" spans="1:16" x14ac:dyDescent="0.3">
      <c r="A92" s="1">
        <v>91</v>
      </c>
      <c r="B92" t="s">
        <v>97</v>
      </c>
      <c r="E92" t="s">
        <v>313</v>
      </c>
      <c r="F92">
        <v>54</v>
      </c>
      <c r="G92">
        <v>54112</v>
      </c>
      <c r="H92" t="s">
        <v>285</v>
      </c>
      <c r="K92">
        <v>300</v>
      </c>
      <c r="L92">
        <v>0</v>
      </c>
      <c r="M92">
        <v>0</v>
      </c>
      <c r="N92">
        <v>300</v>
      </c>
      <c r="O92" s="3">
        <v>0.22</v>
      </c>
      <c r="P92" s="4">
        <f t="shared" si="1"/>
        <v>66</v>
      </c>
    </row>
    <row r="93" spans="1:16" x14ac:dyDescent="0.3">
      <c r="A93" s="1">
        <v>92</v>
      </c>
      <c r="B93" t="s">
        <v>98</v>
      </c>
      <c r="E93" t="s">
        <v>313</v>
      </c>
      <c r="F93">
        <v>54</v>
      </c>
      <c r="G93">
        <v>54112</v>
      </c>
      <c r="H93" t="s">
        <v>285</v>
      </c>
      <c r="K93">
        <v>300</v>
      </c>
      <c r="L93">
        <v>0</v>
      </c>
      <c r="M93">
        <v>0</v>
      </c>
      <c r="N93">
        <v>300</v>
      </c>
      <c r="O93" s="3">
        <v>0.22</v>
      </c>
      <c r="P93" s="4">
        <f t="shared" si="1"/>
        <v>66</v>
      </c>
    </row>
    <row r="94" spans="1:16" x14ac:dyDescent="0.3">
      <c r="A94" s="1">
        <v>93</v>
      </c>
      <c r="B94" t="s">
        <v>99</v>
      </c>
      <c r="E94" t="s">
        <v>313</v>
      </c>
      <c r="F94">
        <v>54</v>
      </c>
      <c r="G94">
        <v>54112</v>
      </c>
      <c r="H94" t="s">
        <v>285</v>
      </c>
      <c r="K94">
        <v>243</v>
      </c>
      <c r="L94">
        <v>0</v>
      </c>
      <c r="M94">
        <v>0</v>
      </c>
      <c r="N94">
        <v>243</v>
      </c>
      <c r="O94" s="3">
        <v>0.22</v>
      </c>
      <c r="P94" s="4">
        <f t="shared" si="1"/>
        <v>53.46</v>
      </c>
    </row>
    <row r="95" spans="1:16" x14ac:dyDescent="0.3">
      <c r="A95" s="1">
        <v>94</v>
      </c>
      <c r="B95" t="s">
        <v>100</v>
      </c>
      <c r="E95" t="s">
        <v>313</v>
      </c>
      <c r="F95">
        <v>54</v>
      </c>
      <c r="G95">
        <v>54112</v>
      </c>
      <c r="H95" t="s">
        <v>285</v>
      </c>
      <c r="K95">
        <v>251</v>
      </c>
      <c r="L95">
        <v>0</v>
      </c>
      <c r="M95">
        <v>0</v>
      </c>
      <c r="N95">
        <v>251</v>
      </c>
      <c r="O95" s="3">
        <v>0.34</v>
      </c>
      <c r="P95" s="4">
        <f t="shared" si="1"/>
        <v>85.34</v>
      </c>
    </row>
    <row r="96" spans="1:16" x14ac:dyDescent="0.3">
      <c r="A96" s="1">
        <v>95</v>
      </c>
      <c r="B96" t="s">
        <v>101</v>
      </c>
      <c r="E96" t="s">
        <v>313</v>
      </c>
      <c r="F96">
        <v>54</v>
      </c>
      <c r="G96">
        <v>54114</v>
      </c>
      <c r="H96" t="s">
        <v>279</v>
      </c>
      <c r="K96">
        <v>5</v>
      </c>
      <c r="L96">
        <v>0</v>
      </c>
      <c r="M96">
        <v>0</v>
      </c>
      <c r="N96">
        <v>5</v>
      </c>
      <c r="O96" s="3">
        <v>0.6</v>
      </c>
      <c r="P96" s="4">
        <f t="shared" si="1"/>
        <v>3</v>
      </c>
    </row>
    <row r="97" spans="1:16" x14ac:dyDescent="0.3">
      <c r="A97" s="1">
        <v>96</v>
      </c>
      <c r="B97" t="s">
        <v>102</v>
      </c>
      <c r="E97" t="s">
        <v>313</v>
      </c>
      <c r="F97">
        <v>54</v>
      </c>
      <c r="G97">
        <v>54114</v>
      </c>
      <c r="H97" t="s">
        <v>285</v>
      </c>
      <c r="K97">
        <v>61</v>
      </c>
      <c r="L97">
        <v>0</v>
      </c>
      <c r="M97">
        <v>3</v>
      </c>
      <c r="N97">
        <v>58</v>
      </c>
      <c r="O97" s="3">
        <v>0.23</v>
      </c>
      <c r="P97" s="4">
        <f t="shared" si="1"/>
        <v>13.34</v>
      </c>
    </row>
    <row r="98" spans="1:16" x14ac:dyDescent="0.3">
      <c r="A98" s="1">
        <v>97</v>
      </c>
      <c r="B98" t="s">
        <v>103</v>
      </c>
      <c r="E98" t="s">
        <v>313</v>
      </c>
      <c r="F98">
        <v>54</v>
      </c>
      <c r="G98">
        <v>54114</v>
      </c>
      <c r="H98" t="s">
        <v>285</v>
      </c>
      <c r="K98">
        <v>477</v>
      </c>
      <c r="L98">
        <v>160</v>
      </c>
      <c r="M98">
        <v>168</v>
      </c>
      <c r="N98">
        <v>469</v>
      </c>
      <c r="O98" s="3">
        <v>0.12</v>
      </c>
      <c r="P98" s="4">
        <f t="shared" si="1"/>
        <v>56.28</v>
      </c>
    </row>
    <row r="99" spans="1:16" x14ac:dyDescent="0.3">
      <c r="A99" s="1">
        <v>98</v>
      </c>
      <c r="B99" t="s">
        <v>104</v>
      </c>
      <c r="E99" t="s">
        <v>313</v>
      </c>
      <c r="F99">
        <v>54</v>
      </c>
      <c r="G99">
        <v>54114</v>
      </c>
      <c r="H99" t="s">
        <v>285</v>
      </c>
      <c r="K99">
        <v>24</v>
      </c>
      <c r="L99">
        <v>0</v>
      </c>
      <c r="M99">
        <v>0</v>
      </c>
      <c r="N99">
        <v>24</v>
      </c>
      <c r="O99" s="3">
        <v>0.98</v>
      </c>
      <c r="P99" s="4">
        <f t="shared" si="1"/>
        <v>23.52</v>
      </c>
    </row>
    <row r="100" spans="1:16" x14ac:dyDescent="0.3">
      <c r="A100" s="1">
        <v>99</v>
      </c>
      <c r="B100" t="s">
        <v>105</v>
      </c>
      <c r="E100" t="s">
        <v>313</v>
      </c>
      <c r="F100">
        <v>54</v>
      </c>
      <c r="G100">
        <v>54114</v>
      </c>
      <c r="H100" t="s">
        <v>285</v>
      </c>
      <c r="K100">
        <v>6</v>
      </c>
      <c r="L100">
        <v>0</v>
      </c>
      <c r="M100">
        <v>2</v>
      </c>
      <c r="N100">
        <v>4</v>
      </c>
      <c r="O100" s="3">
        <v>0.08</v>
      </c>
      <c r="P100" s="4">
        <f t="shared" si="1"/>
        <v>0.32</v>
      </c>
    </row>
    <row r="101" spans="1:16" x14ac:dyDescent="0.3">
      <c r="A101" s="1">
        <v>100</v>
      </c>
      <c r="B101" t="s">
        <v>106</v>
      </c>
      <c r="E101" t="s">
        <v>313</v>
      </c>
      <c r="F101">
        <v>54</v>
      </c>
      <c r="G101">
        <v>54114</v>
      </c>
      <c r="H101" t="s">
        <v>285</v>
      </c>
      <c r="K101">
        <v>18</v>
      </c>
      <c r="L101">
        <v>0</v>
      </c>
      <c r="M101">
        <v>0</v>
      </c>
      <c r="N101">
        <v>18</v>
      </c>
      <c r="O101" s="3">
        <v>0.72</v>
      </c>
      <c r="P101" s="4">
        <f t="shared" si="1"/>
        <v>12.959999999999999</v>
      </c>
    </row>
    <row r="102" spans="1:16" x14ac:dyDescent="0.3">
      <c r="A102" s="1">
        <v>101</v>
      </c>
      <c r="B102" t="s">
        <v>107</v>
      </c>
      <c r="E102" t="s">
        <v>313</v>
      </c>
      <c r="F102">
        <v>54</v>
      </c>
      <c r="G102">
        <v>54114</v>
      </c>
      <c r="H102" t="s">
        <v>288</v>
      </c>
      <c r="K102">
        <v>16</v>
      </c>
      <c r="L102">
        <v>0</v>
      </c>
      <c r="M102">
        <v>0</v>
      </c>
      <c r="N102">
        <v>16</v>
      </c>
      <c r="O102" s="3">
        <v>0.2</v>
      </c>
      <c r="P102" s="4">
        <f t="shared" si="1"/>
        <v>3.2</v>
      </c>
    </row>
    <row r="103" spans="1:16" x14ac:dyDescent="0.3">
      <c r="A103" s="1">
        <v>102</v>
      </c>
      <c r="B103" t="s">
        <v>108</v>
      </c>
      <c r="E103" t="s">
        <v>313</v>
      </c>
      <c r="F103">
        <v>54</v>
      </c>
      <c r="G103">
        <v>54114</v>
      </c>
      <c r="H103" t="s">
        <v>287</v>
      </c>
      <c r="K103">
        <v>37</v>
      </c>
      <c r="L103">
        <v>0</v>
      </c>
      <c r="M103">
        <v>5</v>
      </c>
      <c r="N103">
        <v>32</v>
      </c>
      <c r="O103" s="3">
        <v>0.66</v>
      </c>
      <c r="P103" s="4">
        <f t="shared" si="1"/>
        <v>21.12</v>
      </c>
    </row>
    <row r="104" spans="1:16" x14ac:dyDescent="0.3">
      <c r="A104" s="1">
        <v>103</v>
      </c>
      <c r="B104" t="s">
        <v>109</v>
      </c>
      <c r="E104" t="s">
        <v>313</v>
      </c>
      <c r="F104">
        <v>54</v>
      </c>
      <c r="G104">
        <v>54114</v>
      </c>
      <c r="H104" t="s">
        <v>285</v>
      </c>
      <c r="K104">
        <v>7</v>
      </c>
      <c r="L104">
        <v>0</v>
      </c>
      <c r="M104">
        <v>0</v>
      </c>
      <c r="N104">
        <v>7</v>
      </c>
      <c r="O104" s="3">
        <v>6.49</v>
      </c>
      <c r="P104" s="4">
        <f t="shared" si="1"/>
        <v>45.43</v>
      </c>
    </row>
    <row r="105" spans="1:16" x14ac:dyDescent="0.3">
      <c r="A105" s="1">
        <v>104</v>
      </c>
      <c r="B105" t="s">
        <v>110</v>
      </c>
      <c r="E105" t="s">
        <v>313</v>
      </c>
      <c r="F105">
        <v>54</v>
      </c>
      <c r="G105">
        <v>54114</v>
      </c>
      <c r="H105" t="s">
        <v>287</v>
      </c>
      <c r="K105">
        <v>2</v>
      </c>
      <c r="L105">
        <v>0</v>
      </c>
      <c r="M105">
        <v>0</v>
      </c>
      <c r="N105">
        <v>2</v>
      </c>
      <c r="O105" s="3">
        <v>1.4</v>
      </c>
      <c r="P105" s="4">
        <f t="shared" si="1"/>
        <v>2.8</v>
      </c>
    </row>
    <row r="106" spans="1:16" x14ac:dyDescent="0.3">
      <c r="A106" s="1">
        <v>105</v>
      </c>
      <c r="B106" t="s">
        <v>111</v>
      </c>
      <c r="E106" t="s">
        <v>313</v>
      </c>
      <c r="F106">
        <v>54</v>
      </c>
      <c r="G106">
        <v>54114</v>
      </c>
      <c r="H106" t="s">
        <v>287</v>
      </c>
      <c r="K106">
        <v>67</v>
      </c>
      <c r="L106">
        <v>0</v>
      </c>
      <c r="M106">
        <v>0</v>
      </c>
      <c r="N106">
        <v>67</v>
      </c>
      <c r="O106" s="3">
        <v>0.63</v>
      </c>
      <c r="P106" s="4">
        <f t="shared" si="1"/>
        <v>42.21</v>
      </c>
    </row>
    <row r="107" spans="1:16" x14ac:dyDescent="0.3">
      <c r="A107" s="1">
        <v>106</v>
      </c>
      <c r="B107" t="s">
        <v>112</v>
      </c>
      <c r="E107" t="s">
        <v>313</v>
      </c>
      <c r="F107">
        <v>54</v>
      </c>
      <c r="G107">
        <v>54114</v>
      </c>
      <c r="H107" t="s">
        <v>279</v>
      </c>
      <c r="K107">
        <v>215</v>
      </c>
      <c r="L107">
        <v>0</v>
      </c>
      <c r="M107">
        <v>1</v>
      </c>
      <c r="N107">
        <v>214</v>
      </c>
      <c r="O107" s="3">
        <v>0.06</v>
      </c>
      <c r="P107" s="4">
        <f t="shared" si="1"/>
        <v>12.84</v>
      </c>
    </row>
    <row r="108" spans="1:16" x14ac:dyDescent="0.3">
      <c r="A108" s="1">
        <v>107</v>
      </c>
      <c r="B108" t="s">
        <v>113</v>
      </c>
      <c r="E108" t="s">
        <v>313</v>
      </c>
      <c r="F108">
        <v>54</v>
      </c>
      <c r="G108">
        <v>54114</v>
      </c>
      <c r="H108" t="s">
        <v>306</v>
      </c>
      <c r="K108">
        <v>3</v>
      </c>
      <c r="L108">
        <v>0</v>
      </c>
      <c r="M108">
        <v>0</v>
      </c>
      <c r="N108">
        <v>3</v>
      </c>
      <c r="O108" s="3">
        <v>0.8</v>
      </c>
      <c r="P108" s="4">
        <f t="shared" si="1"/>
        <v>2.4000000000000004</v>
      </c>
    </row>
    <row r="109" spans="1:16" x14ac:dyDescent="0.3">
      <c r="A109" s="1">
        <v>108</v>
      </c>
      <c r="B109" t="s">
        <v>114</v>
      </c>
      <c r="E109" t="s">
        <v>313</v>
      </c>
      <c r="F109">
        <v>54</v>
      </c>
      <c r="G109">
        <v>54114</v>
      </c>
      <c r="H109" t="s">
        <v>285</v>
      </c>
      <c r="K109">
        <v>8</v>
      </c>
      <c r="L109">
        <v>0</v>
      </c>
      <c r="M109">
        <v>1</v>
      </c>
      <c r="N109">
        <v>7</v>
      </c>
      <c r="O109" s="3">
        <v>1.65</v>
      </c>
      <c r="P109" s="4">
        <f t="shared" si="1"/>
        <v>11.549999999999999</v>
      </c>
    </row>
    <row r="110" spans="1:16" x14ac:dyDescent="0.3">
      <c r="A110" s="1">
        <v>109</v>
      </c>
      <c r="B110" t="s">
        <v>115</v>
      </c>
      <c r="E110" t="s">
        <v>313</v>
      </c>
      <c r="F110">
        <v>54</v>
      </c>
      <c r="G110">
        <v>54114</v>
      </c>
      <c r="H110" t="s">
        <v>285</v>
      </c>
      <c r="K110">
        <v>239</v>
      </c>
      <c r="L110">
        <v>0</v>
      </c>
      <c r="M110">
        <v>4</v>
      </c>
      <c r="N110">
        <v>235</v>
      </c>
      <c r="O110" s="3">
        <v>0.2</v>
      </c>
      <c r="P110" s="4">
        <f t="shared" si="1"/>
        <v>47</v>
      </c>
    </row>
    <row r="111" spans="1:16" x14ac:dyDescent="0.3">
      <c r="A111" s="1">
        <v>110</v>
      </c>
      <c r="B111" t="s">
        <v>116</v>
      </c>
      <c r="E111" t="s">
        <v>313</v>
      </c>
      <c r="F111">
        <v>54</v>
      </c>
      <c r="G111">
        <v>54114</v>
      </c>
      <c r="H111" t="s">
        <v>285</v>
      </c>
      <c r="K111">
        <v>11</v>
      </c>
      <c r="L111">
        <v>0</v>
      </c>
      <c r="M111">
        <v>0</v>
      </c>
      <c r="N111">
        <v>11</v>
      </c>
      <c r="O111" s="3">
        <v>0.12</v>
      </c>
      <c r="P111" s="4">
        <f t="shared" si="1"/>
        <v>1.3199999999999998</v>
      </c>
    </row>
    <row r="112" spans="1:16" x14ac:dyDescent="0.3">
      <c r="A112" s="1">
        <v>111</v>
      </c>
      <c r="B112" t="s">
        <v>117</v>
      </c>
      <c r="E112" t="s">
        <v>313</v>
      </c>
      <c r="F112">
        <v>54</v>
      </c>
      <c r="G112">
        <v>54114</v>
      </c>
      <c r="H112" t="s">
        <v>285</v>
      </c>
      <c r="K112">
        <v>7</v>
      </c>
      <c r="L112">
        <v>0</v>
      </c>
      <c r="M112">
        <v>1</v>
      </c>
      <c r="N112">
        <v>6</v>
      </c>
      <c r="O112" s="3">
        <v>0.35</v>
      </c>
      <c r="P112" s="4">
        <f t="shared" si="1"/>
        <v>2.0999999999999996</v>
      </c>
    </row>
    <row r="113" spans="1:16" x14ac:dyDescent="0.3">
      <c r="A113" s="1">
        <v>112</v>
      </c>
      <c r="B113" t="s">
        <v>118</v>
      </c>
      <c r="E113" t="s">
        <v>313</v>
      </c>
      <c r="F113">
        <v>54</v>
      </c>
      <c r="G113">
        <v>54114</v>
      </c>
      <c r="H113" t="s">
        <v>285</v>
      </c>
      <c r="K113">
        <v>2</v>
      </c>
      <c r="L113">
        <v>0</v>
      </c>
      <c r="M113">
        <v>0</v>
      </c>
      <c r="N113">
        <v>2</v>
      </c>
      <c r="O113" s="3">
        <v>0.59</v>
      </c>
      <c r="P113" s="4">
        <f t="shared" si="1"/>
        <v>1.18</v>
      </c>
    </row>
    <row r="114" spans="1:16" x14ac:dyDescent="0.3">
      <c r="A114" s="1">
        <v>113</v>
      </c>
      <c r="B114" t="s">
        <v>119</v>
      </c>
      <c r="E114" t="s">
        <v>313</v>
      </c>
      <c r="F114">
        <v>54</v>
      </c>
      <c r="G114">
        <v>54114</v>
      </c>
      <c r="H114" t="s">
        <v>285</v>
      </c>
      <c r="K114">
        <v>11</v>
      </c>
      <c r="L114">
        <v>0</v>
      </c>
      <c r="M114">
        <v>3</v>
      </c>
      <c r="N114">
        <v>8</v>
      </c>
      <c r="O114" s="3">
        <v>0.1</v>
      </c>
      <c r="P114" s="4">
        <f t="shared" si="1"/>
        <v>0.8</v>
      </c>
    </row>
    <row r="115" spans="1:16" x14ac:dyDescent="0.3">
      <c r="A115" s="1">
        <v>114</v>
      </c>
      <c r="B115" t="s">
        <v>120</v>
      </c>
      <c r="E115" t="s">
        <v>313</v>
      </c>
      <c r="F115">
        <v>54</v>
      </c>
      <c r="G115">
        <v>54114</v>
      </c>
      <c r="H115" t="s">
        <v>287</v>
      </c>
      <c r="K115">
        <v>9</v>
      </c>
      <c r="L115">
        <v>0</v>
      </c>
      <c r="M115">
        <v>1</v>
      </c>
      <c r="N115">
        <v>8</v>
      </c>
      <c r="O115" s="3">
        <v>0.76</v>
      </c>
      <c r="P115" s="4">
        <f t="shared" si="1"/>
        <v>6.08</v>
      </c>
    </row>
    <row r="116" spans="1:16" x14ac:dyDescent="0.3">
      <c r="A116" s="1">
        <v>115</v>
      </c>
      <c r="B116" t="s">
        <v>121</v>
      </c>
      <c r="E116" t="s">
        <v>313</v>
      </c>
      <c r="F116">
        <v>54</v>
      </c>
      <c r="G116">
        <v>54114</v>
      </c>
      <c r="H116" t="s">
        <v>287</v>
      </c>
      <c r="K116">
        <v>7</v>
      </c>
      <c r="L116">
        <v>0</v>
      </c>
      <c r="M116">
        <v>0</v>
      </c>
      <c r="N116">
        <v>7</v>
      </c>
      <c r="O116" s="3">
        <v>1.48</v>
      </c>
      <c r="P116" s="4">
        <f t="shared" si="1"/>
        <v>10.36</v>
      </c>
    </row>
    <row r="117" spans="1:16" x14ac:dyDescent="0.3">
      <c r="A117" s="1">
        <v>116</v>
      </c>
      <c r="B117" t="s">
        <v>122</v>
      </c>
      <c r="E117" t="s">
        <v>313</v>
      </c>
      <c r="F117">
        <v>54</v>
      </c>
      <c r="G117">
        <v>54114</v>
      </c>
      <c r="H117" t="s">
        <v>287</v>
      </c>
      <c r="K117">
        <v>5</v>
      </c>
      <c r="L117">
        <v>0</v>
      </c>
      <c r="M117">
        <v>1</v>
      </c>
      <c r="N117">
        <v>4</v>
      </c>
      <c r="O117" s="3">
        <v>2.16</v>
      </c>
      <c r="P117" s="4">
        <f t="shared" si="1"/>
        <v>8.64</v>
      </c>
    </row>
    <row r="118" spans="1:16" x14ac:dyDescent="0.3">
      <c r="A118" s="1">
        <v>117</v>
      </c>
      <c r="B118" t="s">
        <v>123</v>
      </c>
      <c r="E118" t="s">
        <v>313</v>
      </c>
      <c r="F118">
        <v>54</v>
      </c>
      <c r="G118">
        <v>54114</v>
      </c>
      <c r="H118" t="s">
        <v>285</v>
      </c>
      <c r="K118">
        <v>296</v>
      </c>
      <c r="L118">
        <v>0</v>
      </c>
      <c r="M118">
        <v>2</v>
      </c>
      <c r="N118">
        <v>294</v>
      </c>
      <c r="O118" s="3">
        <v>0.42</v>
      </c>
      <c r="P118" s="4">
        <f t="shared" si="1"/>
        <v>123.47999999999999</v>
      </c>
    </row>
    <row r="119" spans="1:16" x14ac:dyDescent="0.3">
      <c r="A119" s="1">
        <v>118</v>
      </c>
      <c r="B119" t="s">
        <v>124</v>
      </c>
      <c r="E119" t="s">
        <v>313</v>
      </c>
      <c r="F119">
        <v>54</v>
      </c>
      <c r="G119">
        <v>54114</v>
      </c>
      <c r="H119" t="s">
        <v>285</v>
      </c>
      <c r="K119">
        <v>5</v>
      </c>
      <c r="L119">
        <v>0</v>
      </c>
      <c r="M119">
        <v>0</v>
      </c>
      <c r="N119">
        <v>5</v>
      </c>
      <c r="O119" s="3">
        <v>0.77</v>
      </c>
      <c r="P119" s="4">
        <f t="shared" si="1"/>
        <v>3.85</v>
      </c>
    </row>
    <row r="120" spans="1:16" x14ac:dyDescent="0.3">
      <c r="A120" s="1">
        <v>119</v>
      </c>
      <c r="B120" t="s">
        <v>125</v>
      </c>
      <c r="E120" t="s">
        <v>313</v>
      </c>
      <c r="F120">
        <v>54</v>
      </c>
      <c r="G120">
        <v>54114</v>
      </c>
      <c r="H120" t="s">
        <v>285</v>
      </c>
      <c r="K120">
        <v>5</v>
      </c>
      <c r="L120">
        <v>0</v>
      </c>
      <c r="M120">
        <v>0</v>
      </c>
      <c r="N120">
        <v>5</v>
      </c>
      <c r="O120" s="3">
        <v>1.95</v>
      </c>
      <c r="P120" s="4">
        <f t="shared" si="1"/>
        <v>9.75</v>
      </c>
    </row>
    <row r="121" spans="1:16" x14ac:dyDescent="0.3">
      <c r="A121" s="1">
        <v>120</v>
      </c>
      <c r="B121" t="s">
        <v>126</v>
      </c>
      <c r="E121" t="s">
        <v>313</v>
      </c>
      <c r="F121">
        <v>54</v>
      </c>
      <c r="G121">
        <v>54114</v>
      </c>
      <c r="H121" t="s">
        <v>306</v>
      </c>
      <c r="K121">
        <v>11</v>
      </c>
      <c r="L121">
        <v>0</v>
      </c>
      <c r="M121">
        <v>0</v>
      </c>
      <c r="N121">
        <v>11</v>
      </c>
      <c r="O121" s="3">
        <v>1.43</v>
      </c>
      <c r="P121" s="4">
        <f t="shared" si="1"/>
        <v>15.729999999999999</v>
      </c>
    </row>
    <row r="122" spans="1:16" x14ac:dyDescent="0.3">
      <c r="A122" s="1">
        <v>121</v>
      </c>
      <c r="B122" t="s">
        <v>127</v>
      </c>
      <c r="E122" t="s">
        <v>313</v>
      </c>
      <c r="F122">
        <v>54</v>
      </c>
      <c r="G122">
        <v>54114</v>
      </c>
      <c r="H122" t="s">
        <v>288</v>
      </c>
      <c r="K122">
        <v>28</v>
      </c>
      <c r="L122">
        <v>0</v>
      </c>
      <c r="M122">
        <v>2</v>
      </c>
      <c r="N122">
        <v>26</v>
      </c>
      <c r="O122" s="3">
        <v>1.1200000000000001</v>
      </c>
      <c r="P122" s="4">
        <f t="shared" si="1"/>
        <v>29.120000000000005</v>
      </c>
    </row>
    <row r="123" spans="1:16" x14ac:dyDescent="0.3">
      <c r="A123" s="1">
        <v>122</v>
      </c>
      <c r="B123" t="s">
        <v>128</v>
      </c>
      <c r="E123" t="s">
        <v>313</v>
      </c>
      <c r="F123">
        <v>54</v>
      </c>
      <c r="G123">
        <v>54114</v>
      </c>
      <c r="H123" t="s">
        <v>288</v>
      </c>
      <c r="K123">
        <v>48</v>
      </c>
      <c r="L123">
        <v>0</v>
      </c>
      <c r="M123">
        <v>2</v>
      </c>
      <c r="N123">
        <v>46</v>
      </c>
      <c r="O123" s="3">
        <v>0.33</v>
      </c>
      <c r="P123" s="4">
        <f t="shared" si="1"/>
        <v>15.180000000000001</v>
      </c>
    </row>
    <row r="124" spans="1:16" x14ac:dyDescent="0.3">
      <c r="A124" s="1">
        <v>123</v>
      </c>
      <c r="B124" t="s">
        <v>129</v>
      </c>
      <c r="E124" t="s">
        <v>313</v>
      </c>
      <c r="F124">
        <v>54</v>
      </c>
      <c r="G124">
        <v>54114</v>
      </c>
      <c r="H124" t="s">
        <v>285</v>
      </c>
      <c r="K124">
        <v>98</v>
      </c>
      <c r="L124">
        <v>0</v>
      </c>
      <c r="M124">
        <v>0</v>
      </c>
      <c r="N124">
        <v>98</v>
      </c>
      <c r="O124" s="3">
        <v>0.55000000000000004</v>
      </c>
      <c r="P124" s="4">
        <f t="shared" si="1"/>
        <v>53.900000000000006</v>
      </c>
    </row>
    <row r="125" spans="1:16" x14ac:dyDescent="0.3">
      <c r="A125" s="1">
        <v>124</v>
      </c>
      <c r="B125" t="s">
        <v>130</v>
      </c>
      <c r="E125" t="s">
        <v>313</v>
      </c>
      <c r="F125">
        <v>54</v>
      </c>
      <c r="G125">
        <v>54114</v>
      </c>
      <c r="H125" t="s">
        <v>287</v>
      </c>
      <c r="K125">
        <v>139</v>
      </c>
      <c r="L125">
        <v>0</v>
      </c>
      <c r="M125">
        <v>0</v>
      </c>
      <c r="N125">
        <v>139</v>
      </c>
      <c r="O125" s="3">
        <v>1.02</v>
      </c>
      <c r="P125" s="4">
        <f t="shared" si="1"/>
        <v>141.78</v>
      </c>
    </row>
    <row r="126" spans="1:16" x14ac:dyDescent="0.3">
      <c r="A126" s="1">
        <v>125</v>
      </c>
      <c r="B126" t="s">
        <v>131</v>
      </c>
      <c r="E126" t="s">
        <v>313</v>
      </c>
      <c r="F126">
        <v>54</v>
      </c>
      <c r="G126">
        <v>54114</v>
      </c>
      <c r="H126" t="s">
        <v>279</v>
      </c>
      <c r="K126">
        <v>29</v>
      </c>
      <c r="L126">
        <v>0</v>
      </c>
      <c r="M126">
        <v>0</v>
      </c>
      <c r="N126">
        <v>29</v>
      </c>
      <c r="O126" s="3">
        <v>0.4</v>
      </c>
      <c r="P126" s="4">
        <f t="shared" si="1"/>
        <v>11.600000000000001</v>
      </c>
    </row>
    <row r="127" spans="1:16" x14ac:dyDescent="0.3">
      <c r="A127" s="1">
        <v>126</v>
      </c>
      <c r="B127" t="s">
        <v>132</v>
      </c>
      <c r="E127" t="s">
        <v>313</v>
      </c>
      <c r="F127">
        <v>54</v>
      </c>
      <c r="G127">
        <v>54114</v>
      </c>
      <c r="H127" t="s">
        <v>285</v>
      </c>
      <c r="K127">
        <v>18</v>
      </c>
      <c r="L127">
        <v>0</v>
      </c>
      <c r="M127">
        <v>4</v>
      </c>
      <c r="N127">
        <v>14</v>
      </c>
      <c r="O127" s="3">
        <v>7.0000000000000007E-2</v>
      </c>
      <c r="P127" s="4">
        <f t="shared" si="1"/>
        <v>0.98000000000000009</v>
      </c>
    </row>
    <row r="128" spans="1:16" x14ac:dyDescent="0.3">
      <c r="A128" s="1">
        <v>127</v>
      </c>
      <c r="B128" t="s">
        <v>133</v>
      </c>
      <c r="E128" t="s">
        <v>313</v>
      </c>
      <c r="F128">
        <v>54</v>
      </c>
      <c r="G128">
        <v>54114</v>
      </c>
      <c r="H128" t="s">
        <v>279</v>
      </c>
      <c r="K128">
        <v>254</v>
      </c>
      <c r="L128">
        <v>0</v>
      </c>
      <c r="M128">
        <v>12</v>
      </c>
      <c r="N128">
        <v>242</v>
      </c>
      <c r="O128" s="3">
        <v>1.1000000000000001</v>
      </c>
      <c r="P128" s="4">
        <f t="shared" si="1"/>
        <v>266.20000000000005</v>
      </c>
    </row>
    <row r="129" spans="1:16" x14ac:dyDescent="0.3">
      <c r="A129" s="1">
        <v>128</v>
      </c>
      <c r="B129" t="s">
        <v>134</v>
      </c>
      <c r="E129" t="s">
        <v>313</v>
      </c>
      <c r="F129">
        <v>54</v>
      </c>
      <c r="G129">
        <v>54115</v>
      </c>
      <c r="H129" t="s">
        <v>285</v>
      </c>
      <c r="K129">
        <v>29</v>
      </c>
      <c r="L129">
        <v>0</v>
      </c>
      <c r="M129">
        <v>0</v>
      </c>
      <c r="N129">
        <v>29</v>
      </c>
      <c r="O129" s="3">
        <v>1.08</v>
      </c>
      <c r="P129" s="4">
        <f t="shared" si="1"/>
        <v>31.32</v>
      </c>
    </row>
    <row r="130" spans="1:16" x14ac:dyDescent="0.3">
      <c r="A130" s="1">
        <v>129</v>
      </c>
      <c r="B130" t="s">
        <v>135</v>
      </c>
      <c r="E130" t="s">
        <v>313</v>
      </c>
      <c r="F130">
        <v>54</v>
      </c>
      <c r="G130">
        <v>54115</v>
      </c>
      <c r="H130" t="s">
        <v>285</v>
      </c>
      <c r="K130">
        <v>9</v>
      </c>
      <c r="L130">
        <v>0</v>
      </c>
      <c r="M130">
        <v>0</v>
      </c>
      <c r="N130">
        <v>9</v>
      </c>
      <c r="O130" s="3">
        <v>11.56</v>
      </c>
      <c r="P130" s="4">
        <f t="shared" si="1"/>
        <v>104.04</v>
      </c>
    </row>
    <row r="131" spans="1:16" x14ac:dyDescent="0.3">
      <c r="A131" s="1">
        <v>130</v>
      </c>
      <c r="B131" t="s">
        <v>136</v>
      </c>
      <c r="E131" t="s">
        <v>313</v>
      </c>
      <c r="F131">
        <v>54</v>
      </c>
      <c r="G131">
        <v>54115</v>
      </c>
      <c r="H131" t="s">
        <v>285</v>
      </c>
      <c r="K131">
        <v>1</v>
      </c>
      <c r="L131">
        <v>0</v>
      </c>
      <c r="M131">
        <v>0</v>
      </c>
      <c r="N131">
        <v>1</v>
      </c>
      <c r="O131" s="3">
        <v>20.34</v>
      </c>
      <c r="P131" s="4">
        <f t="shared" ref="P131:P194" si="2">O131*N131</f>
        <v>20.34</v>
      </c>
    </row>
    <row r="132" spans="1:16" x14ac:dyDescent="0.3">
      <c r="A132" s="1">
        <v>131</v>
      </c>
      <c r="B132" t="s">
        <v>137</v>
      </c>
      <c r="E132" t="s">
        <v>313</v>
      </c>
      <c r="F132">
        <v>54</v>
      </c>
      <c r="G132">
        <v>54115</v>
      </c>
      <c r="H132" t="s">
        <v>285</v>
      </c>
      <c r="K132">
        <v>1</v>
      </c>
      <c r="L132">
        <v>0</v>
      </c>
      <c r="M132">
        <v>0</v>
      </c>
      <c r="N132">
        <v>1</v>
      </c>
      <c r="O132" s="3">
        <v>23.73</v>
      </c>
      <c r="P132" s="4">
        <f t="shared" si="2"/>
        <v>23.73</v>
      </c>
    </row>
    <row r="133" spans="1:16" x14ac:dyDescent="0.3">
      <c r="A133" s="1">
        <v>132</v>
      </c>
      <c r="B133" t="s">
        <v>138</v>
      </c>
      <c r="E133" t="s">
        <v>313</v>
      </c>
      <c r="F133">
        <v>54</v>
      </c>
      <c r="G133">
        <v>54115</v>
      </c>
      <c r="H133" t="s">
        <v>285</v>
      </c>
      <c r="K133">
        <v>1</v>
      </c>
      <c r="L133">
        <v>0</v>
      </c>
      <c r="M133">
        <v>0</v>
      </c>
      <c r="N133">
        <v>1</v>
      </c>
      <c r="O133" s="3">
        <v>72.89</v>
      </c>
      <c r="P133" s="4">
        <f t="shared" si="2"/>
        <v>72.89</v>
      </c>
    </row>
    <row r="134" spans="1:16" x14ac:dyDescent="0.3">
      <c r="A134" s="1">
        <v>133</v>
      </c>
      <c r="B134" t="s">
        <v>139</v>
      </c>
      <c r="E134" t="s">
        <v>313</v>
      </c>
      <c r="F134">
        <v>54</v>
      </c>
      <c r="G134">
        <v>54115</v>
      </c>
      <c r="H134" t="s">
        <v>285</v>
      </c>
      <c r="K134">
        <v>1</v>
      </c>
      <c r="L134">
        <v>0</v>
      </c>
      <c r="M134">
        <v>0</v>
      </c>
      <c r="N134">
        <v>1</v>
      </c>
      <c r="O134" s="3">
        <v>81.650000000000006</v>
      </c>
      <c r="P134" s="4">
        <f t="shared" si="2"/>
        <v>81.650000000000006</v>
      </c>
    </row>
    <row r="135" spans="1:16" x14ac:dyDescent="0.3">
      <c r="A135" s="1">
        <v>134</v>
      </c>
      <c r="B135" t="s">
        <v>140</v>
      </c>
      <c r="E135" t="s">
        <v>313</v>
      </c>
      <c r="F135">
        <v>54</v>
      </c>
      <c r="G135">
        <v>54115</v>
      </c>
      <c r="H135" t="s">
        <v>285</v>
      </c>
      <c r="K135">
        <v>8</v>
      </c>
      <c r="L135">
        <v>0</v>
      </c>
      <c r="M135">
        <v>0</v>
      </c>
      <c r="N135">
        <v>8</v>
      </c>
      <c r="O135" s="3">
        <v>88.65</v>
      </c>
      <c r="P135" s="4">
        <f t="shared" si="2"/>
        <v>709.2</v>
      </c>
    </row>
    <row r="136" spans="1:16" x14ac:dyDescent="0.3">
      <c r="A136" s="1">
        <v>135</v>
      </c>
      <c r="B136" t="s">
        <v>141</v>
      </c>
      <c r="E136" t="s">
        <v>313</v>
      </c>
      <c r="F136">
        <v>54</v>
      </c>
      <c r="G136">
        <v>54115</v>
      </c>
      <c r="H136" t="s">
        <v>285</v>
      </c>
      <c r="K136">
        <v>15</v>
      </c>
      <c r="L136">
        <v>0</v>
      </c>
      <c r="M136">
        <v>0</v>
      </c>
      <c r="N136">
        <v>15</v>
      </c>
      <c r="O136" s="3">
        <v>14.13</v>
      </c>
      <c r="P136" s="4">
        <f t="shared" si="2"/>
        <v>211.95000000000002</v>
      </c>
    </row>
    <row r="137" spans="1:16" x14ac:dyDescent="0.3">
      <c r="A137" s="1">
        <v>136</v>
      </c>
      <c r="B137" t="s">
        <v>142</v>
      </c>
      <c r="E137" t="s">
        <v>313</v>
      </c>
      <c r="F137">
        <v>54</v>
      </c>
      <c r="G137">
        <v>54115</v>
      </c>
      <c r="H137" t="s">
        <v>285</v>
      </c>
      <c r="K137">
        <v>7</v>
      </c>
      <c r="L137">
        <v>0</v>
      </c>
      <c r="M137">
        <v>0</v>
      </c>
      <c r="N137">
        <v>7</v>
      </c>
      <c r="O137" s="3">
        <v>15.56</v>
      </c>
      <c r="P137" s="4">
        <f t="shared" si="2"/>
        <v>108.92</v>
      </c>
    </row>
    <row r="138" spans="1:16" x14ac:dyDescent="0.3">
      <c r="A138" s="1">
        <v>137</v>
      </c>
      <c r="B138" t="s">
        <v>143</v>
      </c>
      <c r="E138" t="s">
        <v>313</v>
      </c>
      <c r="F138">
        <v>54</v>
      </c>
      <c r="G138">
        <v>54115</v>
      </c>
      <c r="H138" t="s">
        <v>285</v>
      </c>
      <c r="K138">
        <v>1</v>
      </c>
      <c r="L138">
        <v>0</v>
      </c>
      <c r="M138">
        <v>0</v>
      </c>
      <c r="N138">
        <v>1</v>
      </c>
      <c r="O138" s="3">
        <v>83.95</v>
      </c>
      <c r="P138" s="4">
        <f t="shared" si="2"/>
        <v>83.95</v>
      </c>
    </row>
    <row r="139" spans="1:16" x14ac:dyDescent="0.3">
      <c r="A139" s="1">
        <v>138</v>
      </c>
      <c r="B139" t="s">
        <v>144</v>
      </c>
      <c r="E139" t="s">
        <v>313</v>
      </c>
      <c r="F139">
        <v>54</v>
      </c>
      <c r="G139">
        <v>54115</v>
      </c>
      <c r="H139" t="s">
        <v>285</v>
      </c>
      <c r="K139">
        <v>2</v>
      </c>
      <c r="L139">
        <v>0</v>
      </c>
      <c r="M139">
        <v>0</v>
      </c>
      <c r="N139">
        <v>2</v>
      </c>
      <c r="O139" s="3">
        <v>94.72</v>
      </c>
      <c r="P139" s="4">
        <f t="shared" si="2"/>
        <v>189.44</v>
      </c>
    </row>
    <row r="140" spans="1:16" x14ac:dyDescent="0.3">
      <c r="A140" s="1">
        <v>139</v>
      </c>
      <c r="B140" t="s">
        <v>145</v>
      </c>
      <c r="E140" t="s">
        <v>313</v>
      </c>
      <c r="F140">
        <v>54</v>
      </c>
      <c r="G140">
        <v>54115</v>
      </c>
      <c r="H140" t="s">
        <v>285</v>
      </c>
      <c r="K140">
        <v>2</v>
      </c>
      <c r="L140">
        <v>0</v>
      </c>
      <c r="M140">
        <v>0</v>
      </c>
      <c r="N140">
        <v>2</v>
      </c>
      <c r="O140" s="3">
        <v>134.94</v>
      </c>
      <c r="P140" s="4">
        <f t="shared" si="2"/>
        <v>269.88</v>
      </c>
    </row>
    <row r="141" spans="1:16" x14ac:dyDescent="0.3">
      <c r="A141" s="1">
        <v>140</v>
      </c>
      <c r="B141" t="s">
        <v>146</v>
      </c>
      <c r="E141" t="s">
        <v>313</v>
      </c>
      <c r="F141">
        <v>54</v>
      </c>
      <c r="G141">
        <v>54115</v>
      </c>
      <c r="H141" t="s">
        <v>285</v>
      </c>
      <c r="K141">
        <v>2</v>
      </c>
      <c r="L141">
        <v>0</v>
      </c>
      <c r="M141">
        <v>0</v>
      </c>
      <c r="N141">
        <v>2</v>
      </c>
      <c r="O141" s="3">
        <v>134.94</v>
      </c>
      <c r="P141" s="4">
        <f t="shared" si="2"/>
        <v>269.88</v>
      </c>
    </row>
    <row r="142" spans="1:16" x14ac:dyDescent="0.3">
      <c r="A142" s="1">
        <v>141</v>
      </c>
      <c r="B142" t="s">
        <v>147</v>
      </c>
      <c r="E142" t="s">
        <v>313</v>
      </c>
      <c r="F142">
        <v>54</v>
      </c>
      <c r="G142">
        <v>54115</v>
      </c>
      <c r="H142" t="s">
        <v>285</v>
      </c>
      <c r="K142">
        <v>2</v>
      </c>
      <c r="L142">
        <v>0</v>
      </c>
      <c r="M142">
        <v>0</v>
      </c>
      <c r="N142">
        <v>2</v>
      </c>
      <c r="O142" s="3">
        <v>134.94</v>
      </c>
      <c r="P142" s="4">
        <f t="shared" si="2"/>
        <v>269.88</v>
      </c>
    </row>
    <row r="143" spans="1:16" x14ac:dyDescent="0.3">
      <c r="A143" s="1">
        <v>142</v>
      </c>
      <c r="B143" t="s">
        <v>148</v>
      </c>
      <c r="E143" t="s">
        <v>313</v>
      </c>
      <c r="F143">
        <v>54</v>
      </c>
      <c r="G143">
        <v>54115</v>
      </c>
      <c r="H143" t="s">
        <v>285</v>
      </c>
      <c r="K143">
        <v>10</v>
      </c>
      <c r="L143">
        <v>0</v>
      </c>
      <c r="M143">
        <v>0</v>
      </c>
      <c r="N143">
        <v>10</v>
      </c>
      <c r="O143" s="3">
        <v>22.32</v>
      </c>
      <c r="P143" s="4">
        <f t="shared" si="2"/>
        <v>223.2</v>
      </c>
    </row>
    <row r="144" spans="1:16" x14ac:dyDescent="0.3">
      <c r="A144" s="1">
        <v>143</v>
      </c>
      <c r="B144" t="s">
        <v>149</v>
      </c>
      <c r="E144" t="s">
        <v>313</v>
      </c>
      <c r="F144">
        <v>54</v>
      </c>
      <c r="G144">
        <v>54115</v>
      </c>
      <c r="H144" t="s">
        <v>279</v>
      </c>
      <c r="K144">
        <v>1</v>
      </c>
      <c r="L144">
        <v>0</v>
      </c>
      <c r="M144">
        <v>0</v>
      </c>
      <c r="N144">
        <v>1</v>
      </c>
      <c r="O144" s="3">
        <v>51.5</v>
      </c>
      <c r="P144" s="4">
        <f t="shared" si="2"/>
        <v>51.5</v>
      </c>
    </row>
    <row r="145" spans="1:16" x14ac:dyDescent="0.3">
      <c r="A145" s="1">
        <v>144</v>
      </c>
      <c r="B145" t="s">
        <v>150</v>
      </c>
      <c r="E145" t="s">
        <v>313</v>
      </c>
      <c r="F145">
        <v>54</v>
      </c>
      <c r="G145">
        <v>54115</v>
      </c>
      <c r="H145" t="s">
        <v>279</v>
      </c>
      <c r="K145">
        <v>1</v>
      </c>
      <c r="L145">
        <v>0</v>
      </c>
      <c r="M145">
        <v>0</v>
      </c>
      <c r="N145">
        <v>1</v>
      </c>
      <c r="O145" s="3">
        <v>58.17</v>
      </c>
      <c r="P145" s="4">
        <f t="shared" si="2"/>
        <v>58.17</v>
      </c>
    </row>
    <row r="146" spans="1:16" x14ac:dyDescent="0.3">
      <c r="A146" s="1">
        <v>145</v>
      </c>
      <c r="B146" t="s">
        <v>151</v>
      </c>
      <c r="E146" t="s">
        <v>313</v>
      </c>
      <c r="F146">
        <v>54</v>
      </c>
      <c r="G146">
        <v>54115</v>
      </c>
      <c r="H146" t="s">
        <v>279</v>
      </c>
      <c r="K146">
        <v>1</v>
      </c>
      <c r="L146">
        <v>0</v>
      </c>
      <c r="M146">
        <v>0</v>
      </c>
      <c r="N146">
        <v>1</v>
      </c>
      <c r="O146" s="3">
        <v>58.17</v>
      </c>
      <c r="P146" s="4">
        <f t="shared" si="2"/>
        <v>58.17</v>
      </c>
    </row>
    <row r="147" spans="1:16" x14ac:dyDescent="0.3">
      <c r="A147" s="1">
        <v>146</v>
      </c>
      <c r="B147" t="s">
        <v>152</v>
      </c>
      <c r="E147" t="s">
        <v>313</v>
      </c>
      <c r="F147">
        <v>54</v>
      </c>
      <c r="G147">
        <v>54115</v>
      </c>
      <c r="H147" t="s">
        <v>279</v>
      </c>
      <c r="K147">
        <v>1</v>
      </c>
      <c r="L147">
        <v>0</v>
      </c>
      <c r="M147">
        <v>0</v>
      </c>
      <c r="N147">
        <v>1</v>
      </c>
      <c r="O147" s="3">
        <v>10</v>
      </c>
      <c r="P147" s="4">
        <f t="shared" si="2"/>
        <v>10</v>
      </c>
    </row>
    <row r="148" spans="1:16" x14ac:dyDescent="0.3">
      <c r="A148" s="1">
        <v>147</v>
      </c>
      <c r="B148" t="s">
        <v>153</v>
      </c>
      <c r="E148" t="s">
        <v>313</v>
      </c>
      <c r="F148">
        <v>54</v>
      </c>
      <c r="G148">
        <v>54115</v>
      </c>
      <c r="H148" t="s">
        <v>279</v>
      </c>
      <c r="K148">
        <v>8</v>
      </c>
      <c r="L148">
        <v>0</v>
      </c>
      <c r="M148">
        <v>0</v>
      </c>
      <c r="N148">
        <v>8</v>
      </c>
      <c r="O148" s="3">
        <v>9.2100000000000009</v>
      </c>
      <c r="P148" s="4">
        <f t="shared" si="2"/>
        <v>73.680000000000007</v>
      </c>
    </row>
    <row r="149" spans="1:16" x14ac:dyDescent="0.3">
      <c r="A149" s="1">
        <v>148</v>
      </c>
      <c r="B149" t="s">
        <v>154</v>
      </c>
      <c r="E149" t="s">
        <v>313</v>
      </c>
      <c r="F149">
        <v>54</v>
      </c>
      <c r="G149">
        <v>54115</v>
      </c>
      <c r="H149" t="s">
        <v>279</v>
      </c>
      <c r="K149">
        <v>5</v>
      </c>
      <c r="L149">
        <v>0</v>
      </c>
      <c r="M149">
        <v>0</v>
      </c>
      <c r="N149">
        <v>5</v>
      </c>
      <c r="O149" s="3">
        <v>69.599999999999994</v>
      </c>
      <c r="P149" s="4">
        <f t="shared" si="2"/>
        <v>348</v>
      </c>
    </row>
    <row r="150" spans="1:16" x14ac:dyDescent="0.3">
      <c r="A150" s="1">
        <v>149</v>
      </c>
      <c r="B150" t="s">
        <v>155</v>
      </c>
      <c r="E150" t="s">
        <v>313</v>
      </c>
      <c r="F150">
        <v>54</v>
      </c>
      <c r="G150">
        <v>54115</v>
      </c>
      <c r="H150" t="s">
        <v>279</v>
      </c>
      <c r="K150">
        <v>1</v>
      </c>
      <c r="L150">
        <v>0</v>
      </c>
      <c r="M150">
        <v>0</v>
      </c>
      <c r="N150">
        <v>1</v>
      </c>
      <c r="O150" s="3">
        <v>90.47</v>
      </c>
      <c r="P150" s="4">
        <f t="shared" si="2"/>
        <v>90.47</v>
      </c>
    </row>
    <row r="151" spans="1:16" x14ac:dyDescent="0.3">
      <c r="A151" s="1">
        <v>150</v>
      </c>
      <c r="B151" t="s">
        <v>156</v>
      </c>
      <c r="E151" t="s">
        <v>313</v>
      </c>
      <c r="F151">
        <v>54</v>
      </c>
      <c r="G151">
        <v>54115</v>
      </c>
      <c r="H151" t="s">
        <v>279</v>
      </c>
      <c r="K151">
        <v>1</v>
      </c>
      <c r="L151">
        <v>0</v>
      </c>
      <c r="M151">
        <v>0</v>
      </c>
      <c r="N151">
        <v>1</v>
      </c>
      <c r="O151" s="3">
        <v>36.54</v>
      </c>
      <c r="P151" s="4">
        <f t="shared" si="2"/>
        <v>36.54</v>
      </c>
    </row>
    <row r="152" spans="1:16" x14ac:dyDescent="0.3">
      <c r="A152" s="1">
        <v>151</v>
      </c>
      <c r="B152" t="s">
        <v>157</v>
      </c>
      <c r="E152" t="s">
        <v>313</v>
      </c>
      <c r="F152">
        <v>54</v>
      </c>
      <c r="G152">
        <v>54115</v>
      </c>
      <c r="H152" t="s">
        <v>279</v>
      </c>
      <c r="K152">
        <v>1</v>
      </c>
      <c r="L152">
        <v>0</v>
      </c>
      <c r="M152">
        <v>0</v>
      </c>
      <c r="N152">
        <v>1</v>
      </c>
      <c r="O152" s="3">
        <v>19.329999999999998</v>
      </c>
      <c r="P152" s="4">
        <f t="shared" si="2"/>
        <v>19.329999999999998</v>
      </c>
    </row>
    <row r="153" spans="1:16" x14ac:dyDescent="0.3">
      <c r="A153" s="1">
        <v>152</v>
      </c>
      <c r="B153" t="s">
        <v>158</v>
      </c>
      <c r="E153" t="s">
        <v>313</v>
      </c>
      <c r="F153">
        <v>54</v>
      </c>
      <c r="G153">
        <v>54115</v>
      </c>
      <c r="H153" t="s">
        <v>307</v>
      </c>
      <c r="K153">
        <v>1</v>
      </c>
      <c r="L153">
        <v>0</v>
      </c>
      <c r="M153">
        <v>0</v>
      </c>
      <c r="N153">
        <v>1</v>
      </c>
      <c r="O153" s="3">
        <v>19.329999999999998</v>
      </c>
      <c r="P153" s="4">
        <f t="shared" si="2"/>
        <v>19.329999999999998</v>
      </c>
    </row>
    <row r="154" spans="1:16" x14ac:dyDescent="0.3">
      <c r="A154" s="1">
        <v>153</v>
      </c>
      <c r="B154" t="s">
        <v>159</v>
      </c>
      <c r="E154" t="s">
        <v>313</v>
      </c>
      <c r="F154">
        <v>54</v>
      </c>
      <c r="G154">
        <v>54115</v>
      </c>
      <c r="H154" t="s">
        <v>279</v>
      </c>
      <c r="K154">
        <v>1</v>
      </c>
      <c r="L154">
        <v>0</v>
      </c>
      <c r="M154">
        <v>0</v>
      </c>
      <c r="N154">
        <v>1</v>
      </c>
      <c r="O154" s="3">
        <v>19.329999999999998</v>
      </c>
      <c r="P154" s="4">
        <f t="shared" si="2"/>
        <v>19.329999999999998</v>
      </c>
    </row>
    <row r="155" spans="1:16" x14ac:dyDescent="0.3">
      <c r="A155" s="1">
        <v>154</v>
      </c>
      <c r="B155" t="s">
        <v>160</v>
      </c>
      <c r="E155" t="s">
        <v>313</v>
      </c>
      <c r="F155">
        <v>54</v>
      </c>
      <c r="G155">
        <v>54115</v>
      </c>
      <c r="H155" t="s">
        <v>279</v>
      </c>
      <c r="K155">
        <v>1</v>
      </c>
      <c r="L155">
        <v>0</v>
      </c>
      <c r="M155">
        <v>0</v>
      </c>
      <c r="N155">
        <v>1</v>
      </c>
      <c r="O155" s="3">
        <v>97.18</v>
      </c>
      <c r="P155" s="4">
        <f t="shared" si="2"/>
        <v>97.18</v>
      </c>
    </row>
    <row r="156" spans="1:16" x14ac:dyDescent="0.3">
      <c r="A156" s="1">
        <v>155</v>
      </c>
      <c r="B156" t="s">
        <v>161</v>
      </c>
      <c r="E156" t="s">
        <v>313</v>
      </c>
      <c r="F156">
        <v>54</v>
      </c>
      <c r="G156">
        <v>54115</v>
      </c>
      <c r="H156" t="s">
        <v>285</v>
      </c>
      <c r="K156">
        <v>5</v>
      </c>
      <c r="L156">
        <v>0</v>
      </c>
      <c r="M156">
        <v>1</v>
      </c>
      <c r="N156">
        <v>4</v>
      </c>
      <c r="O156" s="3">
        <v>67.790000000000006</v>
      </c>
      <c r="P156" s="4">
        <f t="shared" si="2"/>
        <v>271.16000000000003</v>
      </c>
    </row>
    <row r="157" spans="1:16" x14ac:dyDescent="0.3">
      <c r="A157" s="1">
        <v>156</v>
      </c>
      <c r="B157" t="s">
        <v>162</v>
      </c>
      <c r="E157" t="s">
        <v>313</v>
      </c>
      <c r="F157">
        <v>54</v>
      </c>
      <c r="G157">
        <v>54115</v>
      </c>
      <c r="H157" t="s">
        <v>279</v>
      </c>
      <c r="K157">
        <v>17</v>
      </c>
      <c r="L157">
        <v>0</v>
      </c>
      <c r="M157">
        <v>0</v>
      </c>
      <c r="N157">
        <v>17</v>
      </c>
      <c r="O157" s="3">
        <v>49.86</v>
      </c>
      <c r="P157" s="4">
        <f t="shared" si="2"/>
        <v>847.62</v>
      </c>
    </row>
    <row r="158" spans="1:16" x14ac:dyDescent="0.3">
      <c r="A158" s="1">
        <v>157</v>
      </c>
      <c r="B158" t="s">
        <v>163</v>
      </c>
      <c r="E158" t="s">
        <v>313</v>
      </c>
      <c r="F158">
        <v>54</v>
      </c>
      <c r="G158">
        <v>54115</v>
      </c>
      <c r="H158" t="s">
        <v>279</v>
      </c>
      <c r="K158">
        <v>7</v>
      </c>
      <c r="L158">
        <v>0</v>
      </c>
      <c r="M158">
        <v>0</v>
      </c>
      <c r="N158">
        <v>7</v>
      </c>
      <c r="O158" s="3">
        <v>38.17</v>
      </c>
      <c r="P158" s="4">
        <f t="shared" si="2"/>
        <v>267.19</v>
      </c>
    </row>
    <row r="159" spans="1:16" x14ac:dyDescent="0.3">
      <c r="A159" s="1">
        <v>158</v>
      </c>
      <c r="B159" t="s">
        <v>164</v>
      </c>
      <c r="E159" t="s">
        <v>313</v>
      </c>
      <c r="F159">
        <v>54</v>
      </c>
      <c r="G159">
        <v>54115</v>
      </c>
      <c r="H159" t="s">
        <v>279</v>
      </c>
      <c r="K159">
        <v>7</v>
      </c>
      <c r="L159">
        <v>0</v>
      </c>
      <c r="M159">
        <v>0</v>
      </c>
      <c r="N159">
        <v>7</v>
      </c>
      <c r="O159" s="3">
        <v>38.17</v>
      </c>
      <c r="P159" s="4">
        <f t="shared" si="2"/>
        <v>267.19</v>
      </c>
    </row>
    <row r="160" spans="1:16" x14ac:dyDescent="0.3">
      <c r="A160" s="1">
        <v>159</v>
      </c>
      <c r="B160" t="s">
        <v>165</v>
      </c>
      <c r="E160" t="s">
        <v>313</v>
      </c>
      <c r="F160">
        <v>54</v>
      </c>
      <c r="G160">
        <v>54115</v>
      </c>
      <c r="H160" t="s">
        <v>279</v>
      </c>
      <c r="K160">
        <v>8</v>
      </c>
      <c r="L160">
        <v>0</v>
      </c>
      <c r="M160">
        <v>0</v>
      </c>
      <c r="N160">
        <v>8</v>
      </c>
      <c r="O160" s="3">
        <v>38.17</v>
      </c>
      <c r="P160" s="4">
        <f t="shared" si="2"/>
        <v>305.36</v>
      </c>
    </row>
    <row r="161" spans="1:16" x14ac:dyDescent="0.3">
      <c r="A161" s="1">
        <v>160</v>
      </c>
      <c r="B161" t="s">
        <v>166</v>
      </c>
      <c r="E161" t="s">
        <v>313</v>
      </c>
      <c r="F161">
        <v>54</v>
      </c>
      <c r="G161">
        <v>54115</v>
      </c>
      <c r="H161" t="s">
        <v>279</v>
      </c>
      <c r="K161">
        <v>3</v>
      </c>
      <c r="L161">
        <v>0</v>
      </c>
      <c r="M161">
        <v>0</v>
      </c>
      <c r="N161">
        <v>3</v>
      </c>
      <c r="O161" s="3">
        <v>374.78</v>
      </c>
      <c r="P161" s="4">
        <f t="shared" si="2"/>
        <v>1124.3399999999999</v>
      </c>
    </row>
    <row r="162" spans="1:16" x14ac:dyDescent="0.3">
      <c r="A162" s="1">
        <v>161</v>
      </c>
      <c r="B162" t="s">
        <v>167</v>
      </c>
      <c r="E162" t="s">
        <v>313</v>
      </c>
      <c r="F162">
        <v>54</v>
      </c>
      <c r="G162">
        <v>54115</v>
      </c>
      <c r="H162" t="s">
        <v>279</v>
      </c>
      <c r="K162">
        <v>3</v>
      </c>
      <c r="L162">
        <v>0</v>
      </c>
      <c r="M162">
        <v>0</v>
      </c>
      <c r="N162">
        <v>3</v>
      </c>
      <c r="O162" s="3">
        <v>10.24</v>
      </c>
      <c r="P162" s="4">
        <f t="shared" si="2"/>
        <v>30.72</v>
      </c>
    </row>
    <row r="163" spans="1:16" x14ac:dyDescent="0.3">
      <c r="A163" s="1">
        <v>162</v>
      </c>
      <c r="B163" t="s">
        <v>168</v>
      </c>
      <c r="E163" t="s">
        <v>313</v>
      </c>
      <c r="F163">
        <v>54</v>
      </c>
      <c r="G163">
        <v>54115</v>
      </c>
      <c r="H163" t="s">
        <v>279</v>
      </c>
      <c r="K163">
        <v>3</v>
      </c>
      <c r="L163">
        <v>0</v>
      </c>
      <c r="M163">
        <v>0</v>
      </c>
      <c r="N163">
        <v>3</v>
      </c>
      <c r="O163" s="3">
        <v>91.17</v>
      </c>
      <c r="P163" s="4">
        <f t="shared" si="2"/>
        <v>273.51</v>
      </c>
    </row>
    <row r="164" spans="1:16" x14ac:dyDescent="0.3">
      <c r="A164" s="1">
        <v>163</v>
      </c>
      <c r="B164" t="s">
        <v>169</v>
      </c>
      <c r="E164" t="s">
        <v>313</v>
      </c>
      <c r="F164">
        <v>54</v>
      </c>
      <c r="G164">
        <v>54115</v>
      </c>
      <c r="H164" t="s">
        <v>306</v>
      </c>
      <c r="K164">
        <v>6</v>
      </c>
      <c r="L164">
        <v>0</v>
      </c>
      <c r="M164">
        <v>0</v>
      </c>
      <c r="N164">
        <v>6</v>
      </c>
      <c r="O164" s="3">
        <v>10.86</v>
      </c>
      <c r="P164" s="4">
        <f t="shared" si="2"/>
        <v>65.16</v>
      </c>
    </row>
    <row r="165" spans="1:16" x14ac:dyDescent="0.3">
      <c r="A165" s="1">
        <v>164</v>
      </c>
      <c r="B165" t="s">
        <v>170</v>
      </c>
      <c r="E165" t="s">
        <v>313</v>
      </c>
      <c r="F165">
        <v>54</v>
      </c>
      <c r="G165">
        <v>54115</v>
      </c>
      <c r="H165" t="s">
        <v>306</v>
      </c>
      <c r="K165">
        <v>4</v>
      </c>
      <c r="L165">
        <v>0</v>
      </c>
      <c r="M165">
        <v>0</v>
      </c>
      <c r="N165">
        <v>4</v>
      </c>
      <c r="O165" s="3">
        <v>15.1</v>
      </c>
      <c r="P165" s="4">
        <f t="shared" si="2"/>
        <v>60.4</v>
      </c>
    </row>
    <row r="166" spans="1:16" x14ac:dyDescent="0.3">
      <c r="A166" s="1">
        <v>165</v>
      </c>
      <c r="B166" t="s">
        <v>171</v>
      </c>
      <c r="E166" t="s">
        <v>313</v>
      </c>
      <c r="F166">
        <v>54</v>
      </c>
      <c r="G166">
        <v>54115</v>
      </c>
      <c r="H166" t="s">
        <v>306</v>
      </c>
      <c r="K166">
        <v>4</v>
      </c>
      <c r="L166">
        <v>0</v>
      </c>
      <c r="M166">
        <v>0</v>
      </c>
      <c r="N166">
        <v>4</v>
      </c>
      <c r="O166" s="3">
        <v>15.1</v>
      </c>
      <c r="P166" s="4">
        <f t="shared" si="2"/>
        <v>60.4</v>
      </c>
    </row>
    <row r="167" spans="1:16" x14ac:dyDescent="0.3">
      <c r="A167" s="1">
        <v>166</v>
      </c>
      <c r="B167" t="s">
        <v>172</v>
      </c>
      <c r="E167" t="s">
        <v>313</v>
      </c>
      <c r="F167">
        <v>54</v>
      </c>
      <c r="G167">
        <v>54115</v>
      </c>
      <c r="H167" t="s">
        <v>306</v>
      </c>
      <c r="K167">
        <v>4</v>
      </c>
      <c r="L167">
        <v>0</v>
      </c>
      <c r="M167">
        <v>0</v>
      </c>
      <c r="N167">
        <v>4</v>
      </c>
      <c r="O167" s="3">
        <v>15.1</v>
      </c>
      <c r="P167" s="4">
        <f t="shared" si="2"/>
        <v>60.4</v>
      </c>
    </row>
    <row r="168" spans="1:16" x14ac:dyDescent="0.3">
      <c r="A168" s="1">
        <v>167</v>
      </c>
      <c r="B168" t="s">
        <v>173</v>
      </c>
      <c r="E168" t="s">
        <v>313</v>
      </c>
      <c r="F168">
        <v>54</v>
      </c>
      <c r="G168">
        <v>54115</v>
      </c>
      <c r="H168" t="s">
        <v>279</v>
      </c>
      <c r="K168">
        <v>1</v>
      </c>
      <c r="L168">
        <v>0</v>
      </c>
      <c r="M168">
        <v>0</v>
      </c>
      <c r="N168">
        <v>1</v>
      </c>
      <c r="O168" s="3">
        <v>42.94</v>
      </c>
      <c r="P168" s="4">
        <f t="shared" si="2"/>
        <v>42.94</v>
      </c>
    </row>
    <row r="169" spans="1:16" x14ac:dyDescent="0.3">
      <c r="A169" s="1">
        <v>168</v>
      </c>
      <c r="B169" t="s">
        <v>174</v>
      </c>
      <c r="E169" t="s">
        <v>313</v>
      </c>
      <c r="F169">
        <v>54</v>
      </c>
      <c r="G169">
        <v>54115</v>
      </c>
      <c r="H169" t="s">
        <v>279</v>
      </c>
      <c r="K169">
        <v>2</v>
      </c>
      <c r="L169">
        <v>0</v>
      </c>
      <c r="M169">
        <v>0</v>
      </c>
      <c r="N169">
        <v>2</v>
      </c>
      <c r="O169" s="3">
        <v>33.9</v>
      </c>
      <c r="P169" s="4">
        <f t="shared" si="2"/>
        <v>67.8</v>
      </c>
    </row>
    <row r="170" spans="1:16" x14ac:dyDescent="0.3">
      <c r="A170" s="1">
        <v>169</v>
      </c>
      <c r="B170" t="s">
        <v>175</v>
      </c>
      <c r="E170" t="s">
        <v>313</v>
      </c>
      <c r="F170">
        <v>54</v>
      </c>
      <c r="G170">
        <v>54115</v>
      </c>
      <c r="H170" t="s">
        <v>279</v>
      </c>
      <c r="K170">
        <v>1</v>
      </c>
      <c r="L170">
        <v>0</v>
      </c>
      <c r="M170">
        <v>0</v>
      </c>
      <c r="N170">
        <v>1</v>
      </c>
      <c r="O170" s="3">
        <v>63.26</v>
      </c>
      <c r="P170" s="4">
        <f t="shared" si="2"/>
        <v>63.26</v>
      </c>
    </row>
    <row r="171" spans="1:16" x14ac:dyDescent="0.3">
      <c r="A171" s="1">
        <v>170</v>
      </c>
      <c r="B171" t="s">
        <v>176</v>
      </c>
      <c r="E171" t="s">
        <v>313</v>
      </c>
      <c r="F171">
        <v>54</v>
      </c>
      <c r="G171">
        <v>54115</v>
      </c>
      <c r="H171" t="s">
        <v>279</v>
      </c>
      <c r="K171">
        <v>1</v>
      </c>
      <c r="L171">
        <v>0</v>
      </c>
      <c r="M171">
        <v>0</v>
      </c>
      <c r="N171">
        <v>1</v>
      </c>
      <c r="O171" s="3">
        <v>74.040000000000006</v>
      </c>
      <c r="P171" s="4">
        <f t="shared" si="2"/>
        <v>74.040000000000006</v>
      </c>
    </row>
    <row r="172" spans="1:16" x14ac:dyDescent="0.3">
      <c r="A172" s="1">
        <v>171</v>
      </c>
      <c r="B172" t="s">
        <v>177</v>
      </c>
      <c r="E172" t="s">
        <v>313</v>
      </c>
      <c r="F172">
        <v>54</v>
      </c>
      <c r="G172">
        <v>54115</v>
      </c>
      <c r="H172" t="s">
        <v>279</v>
      </c>
      <c r="K172">
        <v>1</v>
      </c>
      <c r="L172">
        <v>0</v>
      </c>
      <c r="M172">
        <v>0</v>
      </c>
      <c r="N172">
        <v>1</v>
      </c>
      <c r="O172" s="3">
        <v>74.040000000000006</v>
      </c>
      <c r="P172" s="4">
        <f t="shared" si="2"/>
        <v>74.040000000000006</v>
      </c>
    </row>
    <row r="173" spans="1:16" x14ac:dyDescent="0.3">
      <c r="A173" s="1">
        <v>172</v>
      </c>
      <c r="B173" t="s">
        <v>178</v>
      </c>
      <c r="E173" t="s">
        <v>313</v>
      </c>
      <c r="F173">
        <v>54</v>
      </c>
      <c r="G173">
        <v>54115</v>
      </c>
      <c r="H173" t="s">
        <v>279</v>
      </c>
      <c r="K173">
        <v>1</v>
      </c>
      <c r="L173">
        <v>0</v>
      </c>
      <c r="M173">
        <v>0</v>
      </c>
      <c r="N173">
        <v>1</v>
      </c>
      <c r="O173" s="3">
        <v>74.040000000000006</v>
      </c>
      <c r="P173" s="4">
        <f t="shared" si="2"/>
        <v>74.040000000000006</v>
      </c>
    </row>
    <row r="174" spans="1:16" x14ac:dyDescent="0.3">
      <c r="A174" s="1">
        <v>173</v>
      </c>
      <c r="B174" t="s">
        <v>179</v>
      </c>
      <c r="E174" t="s">
        <v>313</v>
      </c>
      <c r="F174">
        <v>54</v>
      </c>
      <c r="G174">
        <v>54115</v>
      </c>
      <c r="H174" t="s">
        <v>279</v>
      </c>
      <c r="K174">
        <v>1</v>
      </c>
      <c r="L174">
        <v>0</v>
      </c>
      <c r="M174">
        <v>0</v>
      </c>
      <c r="N174">
        <v>1</v>
      </c>
      <c r="O174" s="3">
        <v>27.97</v>
      </c>
      <c r="P174" s="4">
        <f t="shared" si="2"/>
        <v>27.97</v>
      </c>
    </row>
    <row r="175" spans="1:16" x14ac:dyDescent="0.3">
      <c r="A175" s="1">
        <v>174</v>
      </c>
      <c r="B175" t="s">
        <v>180</v>
      </c>
      <c r="E175" t="s">
        <v>313</v>
      </c>
      <c r="F175">
        <v>54</v>
      </c>
      <c r="G175">
        <v>54115</v>
      </c>
      <c r="H175" t="s">
        <v>279</v>
      </c>
      <c r="K175">
        <v>1</v>
      </c>
      <c r="L175">
        <v>0</v>
      </c>
      <c r="M175">
        <v>0</v>
      </c>
      <c r="N175">
        <v>1</v>
      </c>
      <c r="O175" s="3">
        <v>27.97</v>
      </c>
      <c r="P175" s="4">
        <f t="shared" si="2"/>
        <v>27.97</v>
      </c>
    </row>
    <row r="176" spans="1:16" x14ac:dyDescent="0.3">
      <c r="A176" s="1">
        <v>175</v>
      </c>
      <c r="B176" t="s">
        <v>181</v>
      </c>
      <c r="E176" t="s">
        <v>313</v>
      </c>
      <c r="F176">
        <v>54</v>
      </c>
      <c r="G176">
        <v>54115</v>
      </c>
      <c r="H176" t="s">
        <v>279</v>
      </c>
      <c r="K176">
        <v>1</v>
      </c>
      <c r="L176">
        <v>0</v>
      </c>
      <c r="M176">
        <v>0</v>
      </c>
      <c r="N176">
        <v>1</v>
      </c>
      <c r="O176" s="3">
        <v>27.97</v>
      </c>
      <c r="P176" s="4">
        <f t="shared" si="2"/>
        <v>27.97</v>
      </c>
    </row>
    <row r="177" spans="1:16" x14ac:dyDescent="0.3">
      <c r="A177" s="1">
        <v>176</v>
      </c>
      <c r="B177" t="s">
        <v>182</v>
      </c>
      <c r="E177" t="s">
        <v>313</v>
      </c>
      <c r="F177">
        <v>54</v>
      </c>
      <c r="G177">
        <v>54115</v>
      </c>
      <c r="H177" t="s">
        <v>279</v>
      </c>
      <c r="K177">
        <v>2</v>
      </c>
      <c r="L177">
        <v>0</v>
      </c>
      <c r="M177">
        <v>0</v>
      </c>
      <c r="N177">
        <v>2</v>
      </c>
      <c r="O177" s="3">
        <v>33.9</v>
      </c>
      <c r="P177" s="4">
        <f t="shared" si="2"/>
        <v>67.8</v>
      </c>
    </row>
    <row r="178" spans="1:16" x14ac:dyDescent="0.3">
      <c r="A178" s="1">
        <v>177</v>
      </c>
      <c r="B178" t="s">
        <v>183</v>
      </c>
      <c r="E178" t="s">
        <v>313</v>
      </c>
      <c r="F178">
        <v>54</v>
      </c>
      <c r="G178">
        <v>54115</v>
      </c>
      <c r="H178" t="s">
        <v>279</v>
      </c>
      <c r="K178">
        <v>2</v>
      </c>
      <c r="L178">
        <v>0</v>
      </c>
      <c r="M178">
        <v>0</v>
      </c>
      <c r="N178">
        <v>2</v>
      </c>
      <c r="O178" s="3">
        <v>33.9</v>
      </c>
      <c r="P178" s="4">
        <f t="shared" si="2"/>
        <v>67.8</v>
      </c>
    </row>
    <row r="179" spans="1:16" x14ac:dyDescent="0.3">
      <c r="A179" s="1">
        <v>178</v>
      </c>
      <c r="B179" t="s">
        <v>184</v>
      </c>
      <c r="E179" t="s">
        <v>313</v>
      </c>
      <c r="F179">
        <v>54</v>
      </c>
      <c r="G179">
        <v>54115</v>
      </c>
      <c r="H179" t="s">
        <v>279</v>
      </c>
      <c r="K179">
        <v>2</v>
      </c>
      <c r="L179">
        <v>0</v>
      </c>
      <c r="M179">
        <v>0</v>
      </c>
      <c r="N179">
        <v>2</v>
      </c>
      <c r="O179" s="3">
        <v>33.9</v>
      </c>
      <c r="P179" s="4">
        <f t="shared" si="2"/>
        <v>67.8</v>
      </c>
    </row>
    <row r="180" spans="1:16" x14ac:dyDescent="0.3">
      <c r="A180" s="1">
        <v>179</v>
      </c>
      <c r="B180" t="s">
        <v>185</v>
      </c>
      <c r="E180" t="s">
        <v>313</v>
      </c>
      <c r="F180">
        <v>54</v>
      </c>
      <c r="G180">
        <v>54118</v>
      </c>
      <c r="H180" t="s">
        <v>279</v>
      </c>
      <c r="K180">
        <v>98</v>
      </c>
      <c r="L180">
        <v>0</v>
      </c>
      <c r="M180">
        <v>0</v>
      </c>
      <c r="N180">
        <v>98</v>
      </c>
      <c r="O180" s="3">
        <v>2.75</v>
      </c>
      <c r="P180" s="4">
        <f t="shared" si="2"/>
        <v>269.5</v>
      </c>
    </row>
    <row r="181" spans="1:16" x14ac:dyDescent="0.3">
      <c r="A181" s="1">
        <v>180</v>
      </c>
      <c r="B181" t="s">
        <v>186</v>
      </c>
      <c r="E181" t="s">
        <v>313</v>
      </c>
      <c r="F181">
        <v>54</v>
      </c>
      <c r="G181">
        <v>54118</v>
      </c>
      <c r="H181" t="s">
        <v>285</v>
      </c>
      <c r="K181">
        <v>5</v>
      </c>
      <c r="L181">
        <v>0</v>
      </c>
      <c r="M181">
        <v>0</v>
      </c>
      <c r="N181">
        <v>5</v>
      </c>
      <c r="O181" s="3">
        <v>6.45</v>
      </c>
      <c r="P181" s="4">
        <f t="shared" si="2"/>
        <v>32.25</v>
      </c>
    </row>
    <row r="182" spans="1:16" x14ac:dyDescent="0.3">
      <c r="A182" s="1">
        <v>181</v>
      </c>
      <c r="B182" t="s">
        <v>187</v>
      </c>
      <c r="E182" t="s">
        <v>313</v>
      </c>
      <c r="F182">
        <v>54</v>
      </c>
      <c r="G182">
        <v>54118</v>
      </c>
      <c r="H182" t="s">
        <v>285</v>
      </c>
      <c r="K182">
        <v>4</v>
      </c>
      <c r="L182">
        <v>12</v>
      </c>
      <c r="M182">
        <v>13</v>
      </c>
      <c r="N182">
        <v>3</v>
      </c>
      <c r="O182" s="3">
        <v>6.11</v>
      </c>
      <c r="P182" s="4">
        <f t="shared" si="2"/>
        <v>18.330000000000002</v>
      </c>
    </row>
    <row r="183" spans="1:16" x14ac:dyDescent="0.3">
      <c r="A183" s="1">
        <v>182</v>
      </c>
      <c r="B183" t="s">
        <v>188</v>
      </c>
      <c r="E183" t="s">
        <v>313</v>
      </c>
      <c r="F183">
        <v>54</v>
      </c>
      <c r="G183">
        <v>54118</v>
      </c>
      <c r="H183" t="s">
        <v>285</v>
      </c>
      <c r="K183">
        <v>2</v>
      </c>
      <c r="L183">
        <v>0</v>
      </c>
      <c r="M183">
        <v>0</v>
      </c>
      <c r="N183">
        <v>2</v>
      </c>
      <c r="O183" s="3">
        <v>22.5</v>
      </c>
      <c r="P183" s="4">
        <f t="shared" si="2"/>
        <v>45</v>
      </c>
    </row>
    <row r="184" spans="1:16" x14ac:dyDescent="0.3">
      <c r="A184" s="1">
        <v>183</v>
      </c>
      <c r="B184" t="s">
        <v>189</v>
      </c>
      <c r="E184" t="s">
        <v>313</v>
      </c>
      <c r="F184">
        <v>54</v>
      </c>
      <c r="G184">
        <v>54118</v>
      </c>
      <c r="H184" t="s">
        <v>280</v>
      </c>
      <c r="K184">
        <v>10</v>
      </c>
      <c r="L184">
        <v>0</v>
      </c>
      <c r="M184">
        <v>0</v>
      </c>
      <c r="N184">
        <v>10</v>
      </c>
      <c r="O184" s="3">
        <v>0.53</v>
      </c>
      <c r="P184" s="4">
        <f t="shared" si="2"/>
        <v>5.3000000000000007</v>
      </c>
    </row>
    <row r="185" spans="1:16" x14ac:dyDescent="0.3">
      <c r="A185" s="1">
        <v>184</v>
      </c>
      <c r="B185" t="s">
        <v>190</v>
      </c>
      <c r="E185" t="s">
        <v>313</v>
      </c>
      <c r="F185">
        <v>54</v>
      </c>
      <c r="G185">
        <v>54118</v>
      </c>
      <c r="H185" t="s">
        <v>285</v>
      </c>
      <c r="K185">
        <v>1</v>
      </c>
      <c r="L185">
        <v>0</v>
      </c>
      <c r="M185">
        <v>0</v>
      </c>
      <c r="N185">
        <v>1</v>
      </c>
      <c r="O185" s="3">
        <v>7.96</v>
      </c>
      <c r="P185" s="4">
        <f t="shared" si="2"/>
        <v>7.96</v>
      </c>
    </row>
    <row r="186" spans="1:16" x14ac:dyDescent="0.3">
      <c r="A186" s="1">
        <v>185</v>
      </c>
      <c r="B186" t="s">
        <v>191</v>
      </c>
      <c r="E186" t="s">
        <v>313</v>
      </c>
      <c r="F186">
        <v>54</v>
      </c>
      <c r="G186">
        <v>54118</v>
      </c>
      <c r="H186" t="s">
        <v>285</v>
      </c>
      <c r="K186">
        <v>100</v>
      </c>
      <c r="L186">
        <v>0</v>
      </c>
      <c r="M186">
        <v>0</v>
      </c>
      <c r="N186">
        <v>100</v>
      </c>
      <c r="O186" s="3">
        <v>0.03</v>
      </c>
      <c r="P186" s="4">
        <f t="shared" si="2"/>
        <v>3</v>
      </c>
    </row>
    <row r="187" spans="1:16" x14ac:dyDescent="0.3">
      <c r="A187" s="1">
        <v>186</v>
      </c>
      <c r="B187" t="s">
        <v>192</v>
      </c>
      <c r="E187" t="s">
        <v>313</v>
      </c>
      <c r="F187">
        <v>54</v>
      </c>
      <c r="G187">
        <v>54118</v>
      </c>
      <c r="H187" t="s">
        <v>285</v>
      </c>
      <c r="K187">
        <v>2</v>
      </c>
      <c r="L187">
        <v>0</v>
      </c>
      <c r="M187">
        <v>0</v>
      </c>
      <c r="N187">
        <v>2</v>
      </c>
      <c r="O187" s="3">
        <v>1.33</v>
      </c>
      <c r="P187" s="4">
        <f t="shared" si="2"/>
        <v>2.66</v>
      </c>
    </row>
    <row r="188" spans="1:16" x14ac:dyDescent="0.3">
      <c r="A188" s="1">
        <v>187</v>
      </c>
      <c r="B188" t="s">
        <v>193</v>
      </c>
      <c r="E188" t="s">
        <v>313</v>
      </c>
      <c r="F188">
        <v>54</v>
      </c>
      <c r="G188">
        <v>54118</v>
      </c>
      <c r="H188" t="s">
        <v>287</v>
      </c>
      <c r="K188">
        <v>14</v>
      </c>
      <c r="L188">
        <v>0</v>
      </c>
      <c r="M188">
        <v>0</v>
      </c>
      <c r="N188">
        <v>14</v>
      </c>
      <c r="O188" s="3">
        <v>30.97</v>
      </c>
      <c r="P188" s="4">
        <f t="shared" si="2"/>
        <v>433.58</v>
      </c>
    </row>
    <row r="189" spans="1:16" x14ac:dyDescent="0.3">
      <c r="A189" s="1">
        <v>188</v>
      </c>
      <c r="B189" t="s">
        <v>194</v>
      </c>
      <c r="E189" t="s">
        <v>313</v>
      </c>
      <c r="F189">
        <v>54</v>
      </c>
      <c r="G189">
        <v>54118</v>
      </c>
      <c r="H189" t="s">
        <v>285</v>
      </c>
      <c r="K189">
        <v>15</v>
      </c>
      <c r="L189">
        <v>0</v>
      </c>
      <c r="M189">
        <v>0</v>
      </c>
      <c r="N189">
        <v>15</v>
      </c>
      <c r="O189" s="3">
        <v>0.53</v>
      </c>
      <c r="P189" s="4">
        <f t="shared" si="2"/>
        <v>7.95</v>
      </c>
    </row>
    <row r="190" spans="1:16" x14ac:dyDescent="0.3">
      <c r="A190" s="1">
        <v>189</v>
      </c>
      <c r="B190" t="s">
        <v>195</v>
      </c>
      <c r="E190" t="s">
        <v>313</v>
      </c>
      <c r="F190">
        <v>54</v>
      </c>
      <c r="G190">
        <v>54118</v>
      </c>
      <c r="H190" t="s">
        <v>285</v>
      </c>
      <c r="K190">
        <v>15</v>
      </c>
      <c r="L190">
        <v>0</v>
      </c>
      <c r="M190">
        <v>0</v>
      </c>
      <c r="N190">
        <v>15</v>
      </c>
      <c r="O190" s="3">
        <v>0.53</v>
      </c>
      <c r="P190" s="4">
        <f t="shared" si="2"/>
        <v>7.95</v>
      </c>
    </row>
    <row r="191" spans="1:16" x14ac:dyDescent="0.3">
      <c r="A191" s="1">
        <v>190</v>
      </c>
      <c r="B191" t="s">
        <v>196</v>
      </c>
      <c r="E191" t="s">
        <v>313</v>
      </c>
      <c r="F191">
        <v>54</v>
      </c>
      <c r="G191">
        <v>54118</v>
      </c>
      <c r="H191" t="s">
        <v>285</v>
      </c>
      <c r="K191">
        <v>7</v>
      </c>
      <c r="L191">
        <v>0</v>
      </c>
      <c r="M191">
        <v>0</v>
      </c>
      <c r="N191">
        <v>7</v>
      </c>
      <c r="O191" s="3">
        <v>0.83</v>
      </c>
      <c r="P191" s="4">
        <f t="shared" si="2"/>
        <v>5.81</v>
      </c>
    </row>
    <row r="192" spans="1:16" x14ac:dyDescent="0.3">
      <c r="A192" s="1">
        <v>191</v>
      </c>
      <c r="B192" t="s">
        <v>197</v>
      </c>
      <c r="E192" t="s">
        <v>313</v>
      </c>
      <c r="F192">
        <v>54</v>
      </c>
      <c r="G192">
        <v>54118</v>
      </c>
      <c r="H192" t="s">
        <v>285</v>
      </c>
      <c r="K192">
        <v>395</v>
      </c>
      <c r="L192">
        <v>0</v>
      </c>
      <c r="M192">
        <v>0</v>
      </c>
      <c r="N192">
        <v>395</v>
      </c>
      <c r="O192" s="3">
        <v>7.0000000000000007E-2</v>
      </c>
      <c r="P192" s="4">
        <f t="shared" si="2"/>
        <v>27.650000000000002</v>
      </c>
    </row>
    <row r="193" spans="1:16" x14ac:dyDescent="0.3">
      <c r="A193" s="1">
        <v>192</v>
      </c>
      <c r="B193" t="s">
        <v>198</v>
      </c>
      <c r="E193" t="s">
        <v>313</v>
      </c>
      <c r="F193">
        <v>54</v>
      </c>
      <c r="G193">
        <v>54118</v>
      </c>
      <c r="H193" t="s">
        <v>285</v>
      </c>
      <c r="K193">
        <v>500</v>
      </c>
      <c r="L193">
        <v>0</v>
      </c>
      <c r="M193">
        <v>0</v>
      </c>
      <c r="N193">
        <v>500</v>
      </c>
      <c r="O193" s="3">
        <v>0.06</v>
      </c>
      <c r="P193" s="4">
        <f t="shared" si="2"/>
        <v>30</v>
      </c>
    </row>
    <row r="194" spans="1:16" x14ac:dyDescent="0.3">
      <c r="A194" s="1">
        <v>193</v>
      </c>
      <c r="B194" t="s">
        <v>199</v>
      </c>
      <c r="E194" t="s">
        <v>313</v>
      </c>
      <c r="F194">
        <v>54</v>
      </c>
      <c r="G194">
        <v>54118</v>
      </c>
      <c r="H194" t="s">
        <v>285</v>
      </c>
      <c r="K194">
        <v>7</v>
      </c>
      <c r="L194">
        <v>0</v>
      </c>
      <c r="M194">
        <v>0</v>
      </c>
      <c r="N194">
        <v>7</v>
      </c>
      <c r="O194" s="3">
        <v>14.82</v>
      </c>
      <c r="P194" s="4">
        <f t="shared" si="2"/>
        <v>103.74000000000001</v>
      </c>
    </row>
    <row r="195" spans="1:16" x14ac:dyDescent="0.3">
      <c r="A195" s="1">
        <v>194</v>
      </c>
      <c r="B195" t="s">
        <v>200</v>
      </c>
      <c r="E195" t="s">
        <v>313</v>
      </c>
      <c r="F195">
        <v>54</v>
      </c>
      <c r="G195">
        <v>54118</v>
      </c>
      <c r="H195" t="s">
        <v>285</v>
      </c>
      <c r="K195">
        <v>0</v>
      </c>
      <c r="L195">
        <v>24</v>
      </c>
      <c r="M195">
        <v>6</v>
      </c>
      <c r="N195">
        <v>18</v>
      </c>
      <c r="O195" s="3">
        <v>1.7</v>
      </c>
      <c r="P195" s="4">
        <f t="shared" ref="P195:P258" si="3">O195*N195</f>
        <v>30.599999999999998</v>
      </c>
    </row>
    <row r="196" spans="1:16" x14ac:dyDescent="0.3">
      <c r="A196" s="1">
        <v>195</v>
      </c>
      <c r="B196" t="s">
        <v>201</v>
      </c>
      <c r="E196" t="s">
        <v>313</v>
      </c>
      <c r="F196">
        <v>54</v>
      </c>
      <c r="G196">
        <v>54118</v>
      </c>
      <c r="H196" t="s">
        <v>285</v>
      </c>
      <c r="K196">
        <v>100</v>
      </c>
      <c r="L196">
        <v>0</v>
      </c>
      <c r="M196">
        <v>0</v>
      </c>
      <c r="N196">
        <v>100</v>
      </c>
      <c r="O196" s="3">
        <v>0.05</v>
      </c>
      <c r="P196" s="4">
        <f t="shared" si="3"/>
        <v>5</v>
      </c>
    </row>
    <row r="197" spans="1:16" x14ac:dyDescent="0.3">
      <c r="A197" s="1">
        <v>196</v>
      </c>
      <c r="B197" t="s">
        <v>202</v>
      </c>
      <c r="E197" t="s">
        <v>313</v>
      </c>
      <c r="F197">
        <v>54</v>
      </c>
      <c r="G197">
        <v>54118</v>
      </c>
      <c r="H197" t="s">
        <v>285</v>
      </c>
      <c r="K197">
        <v>1</v>
      </c>
      <c r="L197">
        <v>0</v>
      </c>
      <c r="M197">
        <v>0</v>
      </c>
      <c r="N197">
        <v>1</v>
      </c>
      <c r="O197" s="3">
        <v>1.25</v>
      </c>
      <c r="P197" s="4">
        <f t="shared" si="3"/>
        <v>1.25</v>
      </c>
    </row>
    <row r="198" spans="1:16" x14ac:dyDescent="0.3">
      <c r="A198" s="1">
        <v>197</v>
      </c>
      <c r="B198" t="s">
        <v>203</v>
      </c>
      <c r="E198" t="s">
        <v>313</v>
      </c>
      <c r="F198">
        <v>54</v>
      </c>
      <c r="G198">
        <v>54118</v>
      </c>
      <c r="H198" t="s">
        <v>279</v>
      </c>
      <c r="K198">
        <v>6</v>
      </c>
      <c r="L198">
        <v>0</v>
      </c>
      <c r="M198">
        <v>0</v>
      </c>
      <c r="N198">
        <v>6</v>
      </c>
      <c r="O198" s="3">
        <v>9.6</v>
      </c>
      <c r="P198" s="4">
        <f t="shared" si="3"/>
        <v>57.599999999999994</v>
      </c>
    </row>
    <row r="199" spans="1:16" x14ac:dyDescent="0.3">
      <c r="A199" s="1">
        <v>198</v>
      </c>
      <c r="B199" t="s">
        <v>204</v>
      </c>
      <c r="E199" t="s">
        <v>313</v>
      </c>
      <c r="F199">
        <v>54</v>
      </c>
      <c r="G199">
        <v>54118</v>
      </c>
      <c r="H199" t="s">
        <v>279</v>
      </c>
      <c r="K199">
        <v>8</v>
      </c>
      <c r="L199">
        <v>0</v>
      </c>
      <c r="M199">
        <v>0</v>
      </c>
      <c r="N199">
        <v>8</v>
      </c>
      <c r="O199" s="3">
        <v>1</v>
      </c>
      <c r="P199" s="4">
        <f t="shared" si="3"/>
        <v>8</v>
      </c>
    </row>
    <row r="200" spans="1:16" x14ac:dyDescent="0.3">
      <c r="A200" s="1">
        <v>199</v>
      </c>
      <c r="B200" t="s">
        <v>205</v>
      </c>
      <c r="E200" t="s">
        <v>313</v>
      </c>
      <c r="F200">
        <v>54</v>
      </c>
      <c r="G200">
        <v>54118</v>
      </c>
      <c r="H200" t="s">
        <v>279</v>
      </c>
      <c r="K200">
        <v>14</v>
      </c>
      <c r="L200">
        <v>0</v>
      </c>
      <c r="M200">
        <v>0</v>
      </c>
      <c r="N200">
        <v>14</v>
      </c>
      <c r="O200" s="3">
        <v>6.8</v>
      </c>
      <c r="P200" s="4">
        <f t="shared" si="3"/>
        <v>95.2</v>
      </c>
    </row>
    <row r="201" spans="1:16" x14ac:dyDescent="0.3">
      <c r="A201" s="1">
        <v>200</v>
      </c>
      <c r="B201" t="s">
        <v>206</v>
      </c>
      <c r="E201" t="s">
        <v>313</v>
      </c>
      <c r="F201">
        <v>54</v>
      </c>
      <c r="G201">
        <v>54118</v>
      </c>
      <c r="H201" t="s">
        <v>279</v>
      </c>
      <c r="K201">
        <v>5</v>
      </c>
      <c r="L201">
        <v>0</v>
      </c>
      <c r="M201">
        <v>0</v>
      </c>
      <c r="N201">
        <v>5</v>
      </c>
      <c r="O201" s="3">
        <v>24.9</v>
      </c>
      <c r="P201" s="4">
        <f t="shared" si="3"/>
        <v>124.5</v>
      </c>
    </row>
    <row r="202" spans="1:16" x14ac:dyDescent="0.3">
      <c r="A202" s="1">
        <v>201</v>
      </c>
      <c r="B202" t="s">
        <v>207</v>
      </c>
      <c r="E202" t="s">
        <v>313</v>
      </c>
      <c r="F202">
        <v>54</v>
      </c>
      <c r="G202">
        <v>54118</v>
      </c>
      <c r="H202" t="s">
        <v>284</v>
      </c>
      <c r="K202">
        <v>4.5</v>
      </c>
      <c r="L202">
        <v>0</v>
      </c>
      <c r="M202">
        <v>0</v>
      </c>
      <c r="N202">
        <v>4.5</v>
      </c>
      <c r="O202" s="3">
        <v>3.8</v>
      </c>
      <c r="P202" s="4">
        <f t="shared" si="3"/>
        <v>17.099999999999998</v>
      </c>
    </row>
    <row r="203" spans="1:16" x14ac:dyDescent="0.3">
      <c r="A203" s="1">
        <v>202</v>
      </c>
      <c r="B203" t="s">
        <v>208</v>
      </c>
      <c r="E203" t="s">
        <v>313</v>
      </c>
      <c r="F203">
        <v>54</v>
      </c>
      <c r="G203">
        <v>54118</v>
      </c>
      <c r="H203" t="s">
        <v>285</v>
      </c>
      <c r="K203">
        <v>2</v>
      </c>
      <c r="L203">
        <v>0</v>
      </c>
      <c r="M203">
        <v>0</v>
      </c>
      <c r="N203">
        <v>2</v>
      </c>
      <c r="O203" s="3">
        <v>79.5</v>
      </c>
      <c r="P203" s="4">
        <f t="shared" si="3"/>
        <v>159</v>
      </c>
    </row>
    <row r="204" spans="1:16" x14ac:dyDescent="0.3">
      <c r="A204" s="1">
        <v>203</v>
      </c>
      <c r="B204" t="s">
        <v>209</v>
      </c>
      <c r="E204" t="s">
        <v>313</v>
      </c>
      <c r="F204">
        <v>54</v>
      </c>
      <c r="G204">
        <v>54118</v>
      </c>
      <c r="H204" t="s">
        <v>280</v>
      </c>
      <c r="K204">
        <v>5</v>
      </c>
      <c r="L204">
        <v>0</v>
      </c>
      <c r="M204">
        <v>0</v>
      </c>
      <c r="N204">
        <v>5</v>
      </c>
      <c r="O204" s="3">
        <v>0.99</v>
      </c>
      <c r="P204" s="4">
        <f t="shared" si="3"/>
        <v>4.95</v>
      </c>
    </row>
    <row r="205" spans="1:16" x14ac:dyDescent="0.3">
      <c r="A205" s="1">
        <v>204</v>
      </c>
      <c r="B205" t="s">
        <v>210</v>
      </c>
      <c r="E205" t="s">
        <v>313</v>
      </c>
      <c r="F205">
        <v>54</v>
      </c>
      <c r="G205">
        <v>54118</v>
      </c>
      <c r="H205" t="s">
        <v>279</v>
      </c>
      <c r="K205">
        <v>25</v>
      </c>
      <c r="L205">
        <v>0</v>
      </c>
      <c r="M205">
        <v>0</v>
      </c>
      <c r="N205">
        <v>25</v>
      </c>
      <c r="O205" s="3">
        <v>0.55000000000000004</v>
      </c>
      <c r="P205" s="4">
        <f t="shared" si="3"/>
        <v>13.750000000000002</v>
      </c>
    </row>
    <row r="206" spans="1:16" x14ac:dyDescent="0.3">
      <c r="A206" s="1">
        <v>205</v>
      </c>
      <c r="B206" t="s">
        <v>211</v>
      </c>
      <c r="E206" t="s">
        <v>313</v>
      </c>
      <c r="F206">
        <v>54</v>
      </c>
      <c r="G206">
        <v>54118</v>
      </c>
      <c r="H206" t="s">
        <v>279</v>
      </c>
      <c r="K206">
        <v>3</v>
      </c>
      <c r="L206">
        <v>0</v>
      </c>
      <c r="M206">
        <v>0</v>
      </c>
      <c r="N206">
        <v>3</v>
      </c>
      <c r="O206" s="3">
        <v>4.5</v>
      </c>
      <c r="P206" s="4">
        <f t="shared" si="3"/>
        <v>13.5</v>
      </c>
    </row>
    <row r="207" spans="1:16" x14ac:dyDescent="0.3">
      <c r="A207" s="1">
        <v>206</v>
      </c>
      <c r="B207" t="s">
        <v>212</v>
      </c>
      <c r="E207" t="s">
        <v>313</v>
      </c>
      <c r="F207">
        <v>54</v>
      </c>
      <c r="G207">
        <v>54118</v>
      </c>
      <c r="H207" t="s">
        <v>279</v>
      </c>
      <c r="K207">
        <v>100</v>
      </c>
      <c r="L207">
        <v>0</v>
      </c>
      <c r="M207">
        <v>0</v>
      </c>
      <c r="N207">
        <v>100</v>
      </c>
      <c r="O207" s="3">
        <v>0.03</v>
      </c>
      <c r="P207" s="4">
        <f t="shared" si="3"/>
        <v>3</v>
      </c>
    </row>
    <row r="208" spans="1:16" x14ac:dyDescent="0.3">
      <c r="A208" s="1">
        <v>207</v>
      </c>
      <c r="B208" t="s">
        <v>213</v>
      </c>
      <c r="E208" t="s">
        <v>313</v>
      </c>
      <c r="F208">
        <v>54</v>
      </c>
      <c r="G208">
        <v>54118</v>
      </c>
      <c r="H208" t="s">
        <v>279</v>
      </c>
      <c r="K208">
        <v>1</v>
      </c>
      <c r="L208">
        <v>0</v>
      </c>
      <c r="M208">
        <v>0</v>
      </c>
      <c r="N208">
        <v>1</v>
      </c>
      <c r="O208" s="3">
        <v>19.75</v>
      </c>
      <c r="P208" s="4">
        <f t="shared" si="3"/>
        <v>19.75</v>
      </c>
    </row>
    <row r="209" spans="1:16" x14ac:dyDescent="0.3">
      <c r="A209" s="1">
        <v>208</v>
      </c>
      <c r="B209" t="s">
        <v>214</v>
      </c>
      <c r="E209" t="s">
        <v>313</v>
      </c>
      <c r="F209">
        <v>54</v>
      </c>
      <c r="G209">
        <v>54118</v>
      </c>
      <c r="H209" t="s">
        <v>280</v>
      </c>
      <c r="K209">
        <v>0</v>
      </c>
      <c r="L209">
        <v>52</v>
      </c>
      <c r="M209">
        <v>8</v>
      </c>
      <c r="N209">
        <v>44</v>
      </c>
      <c r="O209" s="3">
        <v>0.45</v>
      </c>
      <c r="P209" s="4">
        <f t="shared" si="3"/>
        <v>19.8</v>
      </c>
    </row>
    <row r="210" spans="1:16" x14ac:dyDescent="0.3">
      <c r="A210" s="1">
        <v>209</v>
      </c>
      <c r="B210" t="s">
        <v>215</v>
      </c>
      <c r="E210" t="s">
        <v>313</v>
      </c>
      <c r="F210">
        <v>54</v>
      </c>
      <c r="G210">
        <v>54118</v>
      </c>
      <c r="H210" t="s">
        <v>279</v>
      </c>
      <c r="K210">
        <v>4</v>
      </c>
      <c r="L210">
        <v>0</v>
      </c>
      <c r="M210">
        <v>0</v>
      </c>
      <c r="N210">
        <v>4</v>
      </c>
      <c r="O210" s="3">
        <v>13.75</v>
      </c>
      <c r="P210" s="4">
        <f t="shared" si="3"/>
        <v>55</v>
      </c>
    </row>
    <row r="211" spans="1:16" x14ac:dyDescent="0.3">
      <c r="A211" s="1">
        <v>210</v>
      </c>
      <c r="B211" t="s">
        <v>216</v>
      </c>
      <c r="E211" t="s">
        <v>313</v>
      </c>
      <c r="F211">
        <v>54</v>
      </c>
      <c r="G211">
        <v>54118</v>
      </c>
      <c r="H211" t="s">
        <v>280</v>
      </c>
      <c r="K211">
        <v>30</v>
      </c>
      <c r="L211">
        <v>0</v>
      </c>
      <c r="M211">
        <v>0</v>
      </c>
      <c r="N211">
        <v>30</v>
      </c>
      <c r="O211" s="3">
        <v>0.48</v>
      </c>
      <c r="P211" s="4">
        <f t="shared" si="3"/>
        <v>14.399999999999999</v>
      </c>
    </row>
    <row r="212" spans="1:16" x14ac:dyDescent="0.3">
      <c r="A212" s="1">
        <v>211</v>
      </c>
      <c r="B212" t="s">
        <v>217</v>
      </c>
      <c r="E212" t="s">
        <v>313</v>
      </c>
      <c r="F212">
        <v>54</v>
      </c>
      <c r="G212">
        <v>54118</v>
      </c>
      <c r="H212" t="s">
        <v>279</v>
      </c>
      <c r="K212">
        <v>0</v>
      </c>
      <c r="L212">
        <v>3</v>
      </c>
      <c r="M212">
        <v>2</v>
      </c>
      <c r="N212">
        <v>1</v>
      </c>
      <c r="O212" s="3">
        <v>19.420000000000002</v>
      </c>
      <c r="P212" s="4">
        <f t="shared" si="3"/>
        <v>19.420000000000002</v>
      </c>
    </row>
    <row r="213" spans="1:16" x14ac:dyDescent="0.3">
      <c r="A213" s="1">
        <v>212</v>
      </c>
      <c r="B213" t="s">
        <v>218</v>
      </c>
      <c r="E213" t="s">
        <v>313</v>
      </c>
      <c r="F213">
        <v>54</v>
      </c>
      <c r="G213">
        <v>54119</v>
      </c>
      <c r="H213" t="s">
        <v>279</v>
      </c>
      <c r="K213">
        <v>9</v>
      </c>
      <c r="L213">
        <v>0</v>
      </c>
      <c r="M213">
        <v>0</v>
      </c>
      <c r="N213">
        <v>9</v>
      </c>
      <c r="O213" s="3">
        <v>0.53</v>
      </c>
      <c r="P213" s="4">
        <f t="shared" si="3"/>
        <v>4.7700000000000005</v>
      </c>
    </row>
    <row r="214" spans="1:16" x14ac:dyDescent="0.3">
      <c r="A214" s="1">
        <v>213</v>
      </c>
      <c r="B214" t="s">
        <v>219</v>
      </c>
      <c r="E214" t="s">
        <v>313</v>
      </c>
      <c r="F214">
        <v>54</v>
      </c>
      <c r="G214">
        <v>54119</v>
      </c>
      <c r="H214" t="s">
        <v>279</v>
      </c>
      <c r="K214">
        <v>1</v>
      </c>
      <c r="L214">
        <v>0</v>
      </c>
      <c r="M214">
        <v>0</v>
      </c>
      <c r="N214">
        <v>1</v>
      </c>
      <c r="O214" s="3">
        <v>3.47</v>
      </c>
      <c r="P214" s="4">
        <f t="shared" si="3"/>
        <v>3.47</v>
      </c>
    </row>
    <row r="215" spans="1:16" x14ac:dyDescent="0.3">
      <c r="A215" s="1">
        <v>214</v>
      </c>
      <c r="B215" t="s">
        <v>220</v>
      </c>
      <c r="E215" t="s">
        <v>313</v>
      </c>
      <c r="F215">
        <v>54</v>
      </c>
      <c r="G215">
        <v>54119</v>
      </c>
      <c r="H215" t="s">
        <v>279</v>
      </c>
      <c r="K215">
        <v>2</v>
      </c>
      <c r="L215">
        <v>0</v>
      </c>
      <c r="M215">
        <v>0</v>
      </c>
      <c r="N215">
        <v>2</v>
      </c>
      <c r="O215" s="3">
        <v>12.09</v>
      </c>
      <c r="P215" s="4">
        <f t="shared" si="3"/>
        <v>24.18</v>
      </c>
    </row>
    <row r="216" spans="1:16" x14ac:dyDescent="0.3">
      <c r="A216" s="1">
        <v>215</v>
      </c>
      <c r="B216" t="s">
        <v>221</v>
      </c>
      <c r="E216" t="s">
        <v>313</v>
      </c>
      <c r="F216">
        <v>54</v>
      </c>
      <c r="G216">
        <v>54119</v>
      </c>
      <c r="H216" t="s">
        <v>284</v>
      </c>
      <c r="K216">
        <v>47</v>
      </c>
      <c r="L216">
        <v>0</v>
      </c>
      <c r="M216">
        <v>0</v>
      </c>
      <c r="N216">
        <v>47</v>
      </c>
      <c r="O216" s="3">
        <v>0.91</v>
      </c>
      <c r="P216" s="4">
        <f t="shared" si="3"/>
        <v>42.77</v>
      </c>
    </row>
    <row r="217" spans="1:16" x14ac:dyDescent="0.3">
      <c r="A217" s="1">
        <v>216</v>
      </c>
      <c r="B217" t="s">
        <v>222</v>
      </c>
      <c r="E217" t="s">
        <v>313</v>
      </c>
      <c r="F217">
        <v>54</v>
      </c>
      <c r="G217">
        <v>54119</v>
      </c>
      <c r="H217" t="s">
        <v>279</v>
      </c>
      <c r="K217">
        <v>99</v>
      </c>
      <c r="L217">
        <v>0</v>
      </c>
      <c r="M217">
        <v>0</v>
      </c>
      <c r="N217">
        <v>99</v>
      </c>
      <c r="O217" s="3">
        <v>0.25</v>
      </c>
      <c r="P217" s="4">
        <f t="shared" si="3"/>
        <v>24.75</v>
      </c>
    </row>
    <row r="218" spans="1:16" x14ac:dyDescent="0.3">
      <c r="A218" s="1">
        <v>217</v>
      </c>
      <c r="B218" t="s">
        <v>223</v>
      </c>
      <c r="E218" t="s">
        <v>313</v>
      </c>
      <c r="F218">
        <v>54</v>
      </c>
      <c r="G218">
        <v>54119</v>
      </c>
      <c r="H218" t="s">
        <v>279</v>
      </c>
      <c r="K218">
        <v>2</v>
      </c>
      <c r="L218">
        <v>0</v>
      </c>
      <c r="M218">
        <v>0</v>
      </c>
      <c r="N218">
        <v>2</v>
      </c>
      <c r="O218" s="3">
        <v>0.1</v>
      </c>
      <c r="P218" s="4">
        <f t="shared" si="3"/>
        <v>0.2</v>
      </c>
    </row>
    <row r="219" spans="1:16" x14ac:dyDescent="0.3">
      <c r="A219" s="1">
        <v>218</v>
      </c>
      <c r="B219" t="s">
        <v>224</v>
      </c>
      <c r="E219" t="s">
        <v>313</v>
      </c>
      <c r="F219">
        <v>54</v>
      </c>
      <c r="G219">
        <v>54119</v>
      </c>
      <c r="H219" t="s">
        <v>279</v>
      </c>
      <c r="K219">
        <v>2</v>
      </c>
      <c r="L219">
        <v>0</v>
      </c>
      <c r="M219">
        <v>0</v>
      </c>
      <c r="N219">
        <v>2</v>
      </c>
      <c r="O219" s="3">
        <v>0.62</v>
      </c>
      <c r="P219" s="4">
        <f t="shared" si="3"/>
        <v>1.24</v>
      </c>
    </row>
    <row r="220" spans="1:16" x14ac:dyDescent="0.3">
      <c r="A220" s="1">
        <v>219</v>
      </c>
      <c r="B220" t="s">
        <v>225</v>
      </c>
      <c r="E220" t="s">
        <v>313</v>
      </c>
      <c r="F220">
        <v>54</v>
      </c>
      <c r="G220">
        <v>54119</v>
      </c>
      <c r="H220" t="s">
        <v>285</v>
      </c>
      <c r="K220">
        <v>30</v>
      </c>
      <c r="L220">
        <v>0</v>
      </c>
      <c r="M220">
        <v>0</v>
      </c>
      <c r="N220">
        <v>30</v>
      </c>
      <c r="O220" s="3">
        <v>0.27</v>
      </c>
      <c r="P220" s="4">
        <f t="shared" si="3"/>
        <v>8.1000000000000014</v>
      </c>
    </row>
    <row r="221" spans="1:16" x14ac:dyDescent="0.3">
      <c r="A221" s="1">
        <v>220</v>
      </c>
      <c r="B221" t="s">
        <v>226</v>
      </c>
      <c r="E221" t="s">
        <v>313</v>
      </c>
      <c r="F221">
        <v>54</v>
      </c>
      <c r="G221">
        <v>54119</v>
      </c>
      <c r="H221" t="s">
        <v>279</v>
      </c>
      <c r="K221">
        <v>2</v>
      </c>
      <c r="L221">
        <v>0</v>
      </c>
      <c r="M221">
        <v>0</v>
      </c>
      <c r="N221">
        <v>2</v>
      </c>
      <c r="O221" s="3">
        <v>0.53</v>
      </c>
      <c r="P221" s="4">
        <f t="shared" si="3"/>
        <v>1.06</v>
      </c>
    </row>
    <row r="222" spans="1:16" x14ac:dyDescent="0.3">
      <c r="A222" s="1">
        <v>221</v>
      </c>
      <c r="B222" t="s">
        <v>227</v>
      </c>
      <c r="E222" t="s">
        <v>313</v>
      </c>
      <c r="F222">
        <v>54</v>
      </c>
      <c r="G222">
        <v>54119</v>
      </c>
      <c r="H222" t="s">
        <v>285</v>
      </c>
      <c r="K222">
        <v>83</v>
      </c>
      <c r="L222">
        <v>0</v>
      </c>
      <c r="M222">
        <v>0</v>
      </c>
      <c r="N222">
        <v>83</v>
      </c>
      <c r="O222" s="3">
        <v>0.97</v>
      </c>
      <c r="P222" s="4">
        <f t="shared" si="3"/>
        <v>80.509999999999991</v>
      </c>
    </row>
    <row r="223" spans="1:16" x14ac:dyDescent="0.3">
      <c r="A223" s="1">
        <v>222</v>
      </c>
      <c r="B223" t="s">
        <v>228</v>
      </c>
      <c r="E223" t="s">
        <v>313</v>
      </c>
      <c r="F223">
        <v>54</v>
      </c>
      <c r="G223">
        <v>54119</v>
      </c>
      <c r="H223" t="s">
        <v>285</v>
      </c>
      <c r="K223">
        <v>14</v>
      </c>
      <c r="L223">
        <v>0</v>
      </c>
      <c r="M223">
        <v>0</v>
      </c>
      <c r="N223">
        <v>14</v>
      </c>
      <c r="O223" s="3">
        <v>1.36</v>
      </c>
      <c r="P223" s="4">
        <f t="shared" si="3"/>
        <v>19.040000000000003</v>
      </c>
    </row>
    <row r="224" spans="1:16" x14ac:dyDescent="0.3">
      <c r="A224" s="1">
        <v>223</v>
      </c>
      <c r="B224" t="s">
        <v>229</v>
      </c>
      <c r="E224" t="s">
        <v>313</v>
      </c>
      <c r="F224">
        <v>54</v>
      </c>
      <c r="G224">
        <v>54119</v>
      </c>
      <c r="H224" t="s">
        <v>285</v>
      </c>
      <c r="K224">
        <v>4</v>
      </c>
      <c r="L224">
        <v>0</v>
      </c>
      <c r="M224">
        <v>0</v>
      </c>
      <c r="N224">
        <v>4</v>
      </c>
      <c r="O224" s="3">
        <v>5.5</v>
      </c>
      <c r="P224" s="4">
        <f t="shared" si="3"/>
        <v>22</v>
      </c>
    </row>
    <row r="225" spans="1:16" x14ac:dyDescent="0.3">
      <c r="A225" s="1">
        <v>224</v>
      </c>
      <c r="B225" t="s">
        <v>230</v>
      </c>
      <c r="E225" t="s">
        <v>313</v>
      </c>
      <c r="F225">
        <v>54</v>
      </c>
      <c r="G225">
        <v>54119</v>
      </c>
      <c r="H225" t="s">
        <v>285</v>
      </c>
      <c r="K225">
        <v>31</v>
      </c>
      <c r="L225">
        <v>0</v>
      </c>
      <c r="M225">
        <v>0</v>
      </c>
      <c r="N225">
        <v>31</v>
      </c>
      <c r="O225" s="3">
        <v>2.44</v>
      </c>
      <c r="P225" s="4">
        <f t="shared" si="3"/>
        <v>75.64</v>
      </c>
    </row>
    <row r="226" spans="1:16" x14ac:dyDescent="0.3">
      <c r="A226" s="1">
        <v>225</v>
      </c>
      <c r="B226" t="s">
        <v>231</v>
      </c>
      <c r="E226" t="s">
        <v>313</v>
      </c>
      <c r="F226">
        <v>54</v>
      </c>
      <c r="G226">
        <v>54119</v>
      </c>
      <c r="H226" t="s">
        <v>287</v>
      </c>
      <c r="K226">
        <v>1</v>
      </c>
      <c r="L226">
        <v>0</v>
      </c>
      <c r="M226">
        <v>0</v>
      </c>
      <c r="N226">
        <v>1</v>
      </c>
      <c r="O226" s="3">
        <v>98</v>
      </c>
      <c r="P226" s="4">
        <f t="shared" si="3"/>
        <v>98</v>
      </c>
    </row>
    <row r="227" spans="1:16" x14ac:dyDescent="0.3">
      <c r="A227" s="1">
        <v>226</v>
      </c>
      <c r="B227" t="s">
        <v>232</v>
      </c>
      <c r="E227" t="s">
        <v>313</v>
      </c>
      <c r="F227">
        <v>54</v>
      </c>
      <c r="G227">
        <v>54119</v>
      </c>
      <c r="H227" t="s">
        <v>285</v>
      </c>
      <c r="K227">
        <v>1</v>
      </c>
      <c r="L227">
        <v>0</v>
      </c>
      <c r="M227">
        <v>0</v>
      </c>
      <c r="N227">
        <v>1</v>
      </c>
      <c r="O227" s="3">
        <v>18.5</v>
      </c>
      <c r="P227" s="4">
        <f t="shared" si="3"/>
        <v>18.5</v>
      </c>
    </row>
    <row r="228" spans="1:16" x14ac:dyDescent="0.3">
      <c r="A228" s="1">
        <v>227</v>
      </c>
      <c r="B228" t="s">
        <v>233</v>
      </c>
      <c r="E228" t="s">
        <v>313</v>
      </c>
      <c r="F228">
        <v>54</v>
      </c>
      <c r="G228">
        <v>54119</v>
      </c>
      <c r="H228" t="s">
        <v>292</v>
      </c>
      <c r="K228">
        <v>8</v>
      </c>
      <c r="L228">
        <v>0</v>
      </c>
      <c r="M228">
        <v>0</v>
      </c>
      <c r="N228">
        <v>8</v>
      </c>
      <c r="O228" s="3">
        <v>4.45</v>
      </c>
      <c r="P228" s="4">
        <f t="shared" si="3"/>
        <v>35.6</v>
      </c>
    </row>
    <row r="229" spans="1:16" x14ac:dyDescent="0.3">
      <c r="A229" s="1">
        <v>228</v>
      </c>
      <c r="B229" t="s">
        <v>234</v>
      </c>
      <c r="E229" t="s">
        <v>313</v>
      </c>
      <c r="F229">
        <v>54</v>
      </c>
      <c r="G229">
        <v>54119</v>
      </c>
      <c r="H229" t="s">
        <v>285</v>
      </c>
      <c r="K229">
        <v>3</v>
      </c>
      <c r="L229">
        <v>0</v>
      </c>
      <c r="M229">
        <v>0</v>
      </c>
      <c r="N229">
        <v>3</v>
      </c>
      <c r="O229" s="3">
        <v>14.08</v>
      </c>
      <c r="P229" s="4">
        <f t="shared" si="3"/>
        <v>42.24</v>
      </c>
    </row>
    <row r="230" spans="1:16" x14ac:dyDescent="0.3">
      <c r="A230" s="1">
        <v>229</v>
      </c>
      <c r="B230" t="s">
        <v>235</v>
      </c>
      <c r="E230" t="s">
        <v>313</v>
      </c>
      <c r="F230">
        <v>54</v>
      </c>
      <c r="G230">
        <v>54119</v>
      </c>
      <c r="H230" t="s">
        <v>285</v>
      </c>
      <c r="K230">
        <v>20</v>
      </c>
      <c r="L230">
        <v>0</v>
      </c>
      <c r="M230">
        <v>0</v>
      </c>
      <c r="N230">
        <v>20</v>
      </c>
      <c r="O230" s="3">
        <v>3.48</v>
      </c>
      <c r="P230" s="4">
        <f t="shared" si="3"/>
        <v>69.599999999999994</v>
      </c>
    </row>
    <row r="231" spans="1:16" x14ac:dyDescent="0.3">
      <c r="A231" s="1">
        <v>230</v>
      </c>
      <c r="B231" t="s">
        <v>236</v>
      </c>
      <c r="E231" t="s">
        <v>313</v>
      </c>
      <c r="F231">
        <v>54</v>
      </c>
      <c r="G231">
        <v>54119</v>
      </c>
      <c r="H231" t="s">
        <v>285</v>
      </c>
      <c r="K231">
        <v>17</v>
      </c>
      <c r="L231">
        <v>0</v>
      </c>
      <c r="M231">
        <v>0</v>
      </c>
      <c r="N231">
        <v>17</v>
      </c>
      <c r="O231" s="3">
        <v>1.6</v>
      </c>
      <c r="P231" s="4">
        <f t="shared" si="3"/>
        <v>27.200000000000003</v>
      </c>
    </row>
    <row r="232" spans="1:16" x14ac:dyDescent="0.3">
      <c r="A232" s="1">
        <v>231</v>
      </c>
      <c r="B232" t="s">
        <v>237</v>
      </c>
      <c r="E232" t="s">
        <v>313</v>
      </c>
      <c r="F232">
        <v>54</v>
      </c>
      <c r="G232">
        <v>54119</v>
      </c>
      <c r="H232" t="s">
        <v>285</v>
      </c>
      <c r="K232">
        <v>15</v>
      </c>
      <c r="L232">
        <v>0</v>
      </c>
      <c r="M232">
        <v>0</v>
      </c>
      <c r="N232">
        <v>15</v>
      </c>
      <c r="O232" s="3">
        <v>1.77</v>
      </c>
      <c r="P232" s="4">
        <f t="shared" si="3"/>
        <v>26.55</v>
      </c>
    </row>
    <row r="233" spans="1:16" x14ac:dyDescent="0.3">
      <c r="A233" s="1">
        <v>232</v>
      </c>
      <c r="B233" t="s">
        <v>238</v>
      </c>
      <c r="E233" t="s">
        <v>313</v>
      </c>
      <c r="F233">
        <v>54</v>
      </c>
      <c r="G233">
        <v>54119</v>
      </c>
      <c r="H233" t="s">
        <v>285</v>
      </c>
      <c r="K233">
        <v>70</v>
      </c>
      <c r="L233">
        <v>0</v>
      </c>
      <c r="M233">
        <v>0</v>
      </c>
      <c r="N233">
        <v>70</v>
      </c>
      <c r="O233" s="3">
        <v>0.06</v>
      </c>
      <c r="P233" s="4">
        <f t="shared" si="3"/>
        <v>4.2</v>
      </c>
    </row>
    <row r="234" spans="1:16" x14ac:dyDescent="0.3">
      <c r="A234" s="1">
        <v>233</v>
      </c>
      <c r="B234" t="s">
        <v>239</v>
      </c>
      <c r="E234" t="s">
        <v>313</v>
      </c>
      <c r="F234">
        <v>54</v>
      </c>
      <c r="G234">
        <v>54119</v>
      </c>
      <c r="H234" t="s">
        <v>279</v>
      </c>
      <c r="K234">
        <v>41</v>
      </c>
      <c r="L234">
        <v>0</v>
      </c>
      <c r="M234">
        <v>0</v>
      </c>
      <c r="N234">
        <v>41</v>
      </c>
      <c r="O234" s="3">
        <v>4.24</v>
      </c>
      <c r="P234" s="4">
        <f t="shared" si="3"/>
        <v>173.84</v>
      </c>
    </row>
    <row r="235" spans="1:16" x14ac:dyDescent="0.3">
      <c r="A235" s="1">
        <v>234</v>
      </c>
      <c r="B235" t="s">
        <v>240</v>
      </c>
      <c r="E235" t="s">
        <v>313</v>
      </c>
      <c r="F235">
        <v>54</v>
      </c>
      <c r="G235">
        <v>54119</v>
      </c>
      <c r="H235" t="s">
        <v>285</v>
      </c>
      <c r="K235">
        <v>184</v>
      </c>
      <c r="L235">
        <v>20</v>
      </c>
      <c r="M235">
        <v>81</v>
      </c>
      <c r="N235">
        <v>123</v>
      </c>
      <c r="O235" s="3">
        <v>0.51</v>
      </c>
      <c r="P235" s="4">
        <f t="shared" si="3"/>
        <v>62.730000000000004</v>
      </c>
    </row>
    <row r="236" spans="1:16" x14ac:dyDescent="0.3">
      <c r="A236" s="1">
        <v>235</v>
      </c>
      <c r="B236" t="s">
        <v>241</v>
      </c>
      <c r="E236" t="s">
        <v>313</v>
      </c>
      <c r="F236">
        <v>54</v>
      </c>
      <c r="G236">
        <v>54119</v>
      </c>
      <c r="H236" t="s">
        <v>308</v>
      </c>
      <c r="K236">
        <v>100</v>
      </c>
      <c r="L236">
        <v>0</v>
      </c>
      <c r="M236">
        <v>0</v>
      </c>
      <c r="N236">
        <v>100</v>
      </c>
      <c r="O236" s="3">
        <v>1.63</v>
      </c>
      <c r="P236" s="4">
        <f t="shared" si="3"/>
        <v>163</v>
      </c>
    </row>
    <row r="237" spans="1:16" x14ac:dyDescent="0.3">
      <c r="A237" s="1">
        <v>236</v>
      </c>
      <c r="B237" t="s">
        <v>242</v>
      </c>
      <c r="E237" t="s">
        <v>313</v>
      </c>
      <c r="F237">
        <v>54</v>
      </c>
      <c r="G237">
        <v>54119</v>
      </c>
      <c r="H237" t="s">
        <v>279</v>
      </c>
      <c r="K237">
        <v>5</v>
      </c>
      <c r="L237">
        <v>0</v>
      </c>
      <c r="M237">
        <v>0</v>
      </c>
      <c r="N237">
        <v>5</v>
      </c>
      <c r="O237" s="3">
        <v>10</v>
      </c>
      <c r="P237" s="4">
        <f t="shared" si="3"/>
        <v>50</v>
      </c>
    </row>
    <row r="238" spans="1:16" x14ac:dyDescent="0.3">
      <c r="A238" s="1">
        <v>237</v>
      </c>
      <c r="B238" t="s">
        <v>243</v>
      </c>
      <c r="E238" t="s">
        <v>313</v>
      </c>
      <c r="F238">
        <v>54</v>
      </c>
      <c r="G238">
        <v>54119</v>
      </c>
      <c r="H238" t="s">
        <v>279</v>
      </c>
      <c r="K238">
        <v>10</v>
      </c>
      <c r="L238">
        <v>0</v>
      </c>
      <c r="M238">
        <v>0</v>
      </c>
      <c r="N238">
        <v>10</v>
      </c>
      <c r="O238" s="3">
        <v>4.5</v>
      </c>
      <c r="P238" s="4">
        <f t="shared" si="3"/>
        <v>45</v>
      </c>
    </row>
    <row r="239" spans="1:16" x14ac:dyDescent="0.3">
      <c r="A239" s="1">
        <v>238</v>
      </c>
      <c r="B239" t="s">
        <v>244</v>
      </c>
      <c r="E239" t="s">
        <v>313</v>
      </c>
      <c r="F239">
        <v>54</v>
      </c>
      <c r="G239">
        <v>54119</v>
      </c>
      <c r="H239" t="s">
        <v>279</v>
      </c>
      <c r="K239">
        <v>28</v>
      </c>
      <c r="L239">
        <v>0</v>
      </c>
      <c r="M239">
        <v>0</v>
      </c>
      <c r="N239">
        <v>28</v>
      </c>
      <c r="O239" s="3">
        <v>8.33</v>
      </c>
      <c r="P239" s="4">
        <f t="shared" si="3"/>
        <v>233.24</v>
      </c>
    </row>
    <row r="240" spans="1:16" x14ac:dyDescent="0.3">
      <c r="A240" s="1">
        <v>239</v>
      </c>
      <c r="B240" t="s">
        <v>245</v>
      </c>
      <c r="E240" t="s">
        <v>313</v>
      </c>
      <c r="F240">
        <v>54</v>
      </c>
      <c r="G240">
        <v>54119</v>
      </c>
      <c r="H240" t="s">
        <v>279</v>
      </c>
      <c r="K240">
        <v>25</v>
      </c>
      <c r="L240">
        <v>0</v>
      </c>
      <c r="M240">
        <v>0</v>
      </c>
      <c r="N240">
        <v>25</v>
      </c>
      <c r="O240" s="3">
        <v>1.85</v>
      </c>
      <c r="P240" s="4">
        <f t="shared" si="3"/>
        <v>46.25</v>
      </c>
    </row>
    <row r="241" spans="1:16" x14ac:dyDescent="0.3">
      <c r="A241" s="1">
        <v>240</v>
      </c>
      <c r="B241" t="s">
        <v>246</v>
      </c>
      <c r="E241" t="s">
        <v>313</v>
      </c>
      <c r="F241">
        <v>54</v>
      </c>
      <c r="G241">
        <v>54119</v>
      </c>
      <c r="H241" t="s">
        <v>279</v>
      </c>
      <c r="K241">
        <v>9</v>
      </c>
      <c r="L241">
        <v>16</v>
      </c>
      <c r="M241">
        <v>16</v>
      </c>
      <c r="N241">
        <v>9</v>
      </c>
      <c r="O241" s="3">
        <v>19.95</v>
      </c>
      <c r="P241" s="4">
        <f t="shared" si="3"/>
        <v>179.54999999999998</v>
      </c>
    </row>
    <row r="242" spans="1:16" x14ac:dyDescent="0.3">
      <c r="A242" s="1">
        <v>241</v>
      </c>
      <c r="B242" t="s">
        <v>247</v>
      </c>
      <c r="E242" t="s">
        <v>313</v>
      </c>
      <c r="F242">
        <v>54</v>
      </c>
      <c r="G242">
        <v>54119</v>
      </c>
      <c r="H242" t="s">
        <v>279</v>
      </c>
      <c r="K242">
        <v>7</v>
      </c>
      <c r="L242">
        <v>0</v>
      </c>
      <c r="M242">
        <v>0</v>
      </c>
      <c r="N242">
        <v>7</v>
      </c>
      <c r="O242" s="3">
        <v>2.75</v>
      </c>
      <c r="P242" s="4">
        <f t="shared" si="3"/>
        <v>19.25</v>
      </c>
    </row>
    <row r="243" spans="1:16" x14ac:dyDescent="0.3">
      <c r="A243" s="1">
        <v>242</v>
      </c>
      <c r="B243" t="s">
        <v>248</v>
      </c>
      <c r="E243" t="s">
        <v>313</v>
      </c>
      <c r="F243">
        <v>54</v>
      </c>
      <c r="G243">
        <v>54119</v>
      </c>
      <c r="H243" t="s">
        <v>279</v>
      </c>
      <c r="K243">
        <v>8</v>
      </c>
      <c r="L243">
        <v>0</v>
      </c>
      <c r="M243">
        <v>0</v>
      </c>
      <c r="N243">
        <v>8</v>
      </c>
      <c r="O243" s="3">
        <v>0.65</v>
      </c>
      <c r="P243" s="4">
        <f t="shared" si="3"/>
        <v>5.2</v>
      </c>
    </row>
    <row r="244" spans="1:16" x14ac:dyDescent="0.3">
      <c r="A244" s="1">
        <v>243</v>
      </c>
      <c r="B244" t="s">
        <v>249</v>
      </c>
      <c r="E244" t="s">
        <v>313</v>
      </c>
      <c r="F244">
        <v>54</v>
      </c>
      <c r="G244">
        <v>54119</v>
      </c>
      <c r="H244" t="s">
        <v>279</v>
      </c>
      <c r="K244">
        <v>17</v>
      </c>
      <c r="L244">
        <v>0</v>
      </c>
      <c r="M244">
        <v>0</v>
      </c>
      <c r="N244">
        <v>17</v>
      </c>
      <c r="O244" s="3">
        <v>6.44</v>
      </c>
      <c r="P244" s="4">
        <f t="shared" si="3"/>
        <v>109.48</v>
      </c>
    </row>
    <row r="245" spans="1:16" x14ac:dyDescent="0.3">
      <c r="A245" s="1">
        <v>244</v>
      </c>
      <c r="B245" t="s">
        <v>250</v>
      </c>
      <c r="E245" t="s">
        <v>313</v>
      </c>
      <c r="F245">
        <v>54</v>
      </c>
      <c r="G245">
        <v>54119</v>
      </c>
      <c r="H245" t="s">
        <v>279</v>
      </c>
      <c r="K245">
        <v>60</v>
      </c>
      <c r="L245">
        <v>0</v>
      </c>
      <c r="M245">
        <v>0</v>
      </c>
      <c r="N245">
        <v>60</v>
      </c>
      <c r="O245" s="3">
        <v>4.95</v>
      </c>
      <c r="P245" s="4">
        <f t="shared" si="3"/>
        <v>297</v>
      </c>
    </row>
    <row r="246" spans="1:16" x14ac:dyDescent="0.3">
      <c r="A246" s="1">
        <v>245</v>
      </c>
      <c r="B246" t="s">
        <v>251</v>
      </c>
      <c r="E246" t="s">
        <v>313</v>
      </c>
      <c r="F246">
        <v>54</v>
      </c>
      <c r="G246">
        <v>54199</v>
      </c>
      <c r="H246" t="s">
        <v>285</v>
      </c>
      <c r="K246">
        <v>48</v>
      </c>
      <c r="L246">
        <v>100</v>
      </c>
      <c r="M246">
        <v>112</v>
      </c>
      <c r="N246">
        <v>36</v>
      </c>
      <c r="O246" s="3">
        <v>1.46</v>
      </c>
      <c r="P246" s="4">
        <f t="shared" si="3"/>
        <v>52.56</v>
      </c>
    </row>
    <row r="247" spans="1:16" x14ac:dyDescent="0.3">
      <c r="A247" s="1">
        <v>246</v>
      </c>
      <c r="B247" t="s">
        <v>252</v>
      </c>
      <c r="E247" t="s">
        <v>313</v>
      </c>
      <c r="F247">
        <v>54</v>
      </c>
      <c r="G247">
        <v>54199</v>
      </c>
      <c r="H247" t="s">
        <v>285</v>
      </c>
      <c r="K247">
        <v>8</v>
      </c>
      <c r="L247">
        <v>0</v>
      </c>
      <c r="M247">
        <v>0</v>
      </c>
      <c r="N247">
        <v>8</v>
      </c>
      <c r="O247" s="3">
        <v>6.6</v>
      </c>
      <c r="P247" s="4">
        <f t="shared" si="3"/>
        <v>52.8</v>
      </c>
    </row>
    <row r="248" spans="1:16" x14ac:dyDescent="0.3">
      <c r="A248" s="1">
        <v>247</v>
      </c>
      <c r="B248" t="s">
        <v>253</v>
      </c>
      <c r="E248" t="s">
        <v>313</v>
      </c>
      <c r="F248">
        <v>54</v>
      </c>
      <c r="G248">
        <v>54199</v>
      </c>
      <c r="H248" t="s">
        <v>285</v>
      </c>
      <c r="K248">
        <v>12</v>
      </c>
      <c r="L248">
        <v>0</v>
      </c>
      <c r="M248">
        <v>0</v>
      </c>
      <c r="N248">
        <v>12</v>
      </c>
      <c r="O248" s="3">
        <v>8.4</v>
      </c>
      <c r="P248" s="4">
        <f t="shared" si="3"/>
        <v>100.80000000000001</v>
      </c>
    </row>
    <row r="249" spans="1:16" x14ac:dyDescent="0.3">
      <c r="A249" s="1">
        <v>248</v>
      </c>
      <c r="B249" t="s">
        <v>254</v>
      </c>
      <c r="E249" t="s">
        <v>313</v>
      </c>
      <c r="F249">
        <v>54</v>
      </c>
      <c r="G249">
        <v>54199</v>
      </c>
      <c r="H249" t="s">
        <v>285</v>
      </c>
      <c r="K249">
        <v>12</v>
      </c>
      <c r="L249">
        <v>0</v>
      </c>
      <c r="M249">
        <v>0</v>
      </c>
      <c r="N249">
        <v>12</v>
      </c>
      <c r="O249" s="3">
        <v>13.95</v>
      </c>
      <c r="P249" s="4">
        <f t="shared" si="3"/>
        <v>167.39999999999998</v>
      </c>
    </row>
    <row r="250" spans="1:16" x14ac:dyDescent="0.3">
      <c r="A250" s="1">
        <v>249</v>
      </c>
      <c r="B250" t="s">
        <v>255</v>
      </c>
      <c r="E250" t="s">
        <v>313</v>
      </c>
      <c r="F250">
        <v>54</v>
      </c>
      <c r="G250">
        <v>54199</v>
      </c>
      <c r="H250" t="s">
        <v>279</v>
      </c>
      <c r="K250">
        <v>60</v>
      </c>
      <c r="L250">
        <v>0</v>
      </c>
      <c r="M250">
        <v>0</v>
      </c>
      <c r="N250">
        <v>60</v>
      </c>
      <c r="O250" s="3">
        <v>1.25</v>
      </c>
      <c r="P250" s="4">
        <f t="shared" si="3"/>
        <v>75</v>
      </c>
    </row>
    <row r="251" spans="1:16" x14ac:dyDescent="0.3">
      <c r="A251" s="1">
        <v>250</v>
      </c>
      <c r="B251" t="s">
        <v>256</v>
      </c>
      <c r="E251" t="s">
        <v>313</v>
      </c>
      <c r="F251">
        <v>54</v>
      </c>
      <c r="G251">
        <v>54199</v>
      </c>
      <c r="H251" t="s">
        <v>279</v>
      </c>
      <c r="K251">
        <v>0</v>
      </c>
      <c r="L251">
        <v>10</v>
      </c>
      <c r="M251">
        <v>8</v>
      </c>
      <c r="N251">
        <v>2</v>
      </c>
      <c r="O251" s="3">
        <v>7.32</v>
      </c>
      <c r="P251" s="4">
        <f t="shared" si="3"/>
        <v>14.64</v>
      </c>
    </row>
    <row r="252" spans="1:16" x14ac:dyDescent="0.3">
      <c r="A252" s="1">
        <v>251</v>
      </c>
      <c r="B252" t="s">
        <v>257</v>
      </c>
      <c r="E252" t="s">
        <v>313</v>
      </c>
      <c r="F252">
        <v>54</v>
      </c>
      <c r="G252">
        <v>54199</v>
      </c>
      <c r="H252" t="s">
        <v>279</v>
      </c>
      <c r="K252">
        <v>5</v>
      </c>
      <c r="L252">
        <v>0</v>
      </c>
      <c r="M252">
        <v>0</v>
      </c>
      <c r="N252">
        <v>5</v>
      </c>
      <c r="O252" s="3">
        <v>13</v>
      </c>
      <c r="P252" s="4">
        <f t="shared" si="3"/>
        <v>65</v>
      </c>
    </row>
    <row r="253" spans="1:16" x14ac:dyDescent="0.3">
      <c r="A253" s="1">
        <v>252</v>
      </c>
      <c r="B253" t="s">
        <v>258</v>
      </c>
      <c r="E253" t="s">
        <v>313</v>
      </c>
      <c r="F253">
        <v>54</v>
      </c>
      <c r="G253">
        <v>54199</v>
      </c>
      <c r="H253" t="s">
        <v>285</v>
      </c>
      <c r="K253">
        <v>1</v>
      </c>
      <c r="L253">
        <v>0</v>
      </c>
      <c r="M253">
        <v>0</v>
      </c>
      <c r="N253">
        <v>1</v>
      </c>
      <c r="O253" s="3">
        <v>18</v>
      </c>
      <c r="P253" s="4">
        <f t="shared" si="3"/>
        <v>18</v>
      </c>
    </row>
    <row r="254" spans="1:16" x14ac:dyDescent="0.3">
      <c r="A254" s="1">
        <v>253</v>
      </c>
      <c r="B254" t="s">
        <v>259</v>
      </c>
      <c r="E254" t="s">
        <v>313</v>
      </c>
      <c r="F254">
        <v>54</v>
      </c>
      <c r="G254">
        <v>54199</v>
      </c>
      <c r="H254" t="s">
        <v>289</v>
      </c>
      <c r="K254">
        <v>0.25</v>
      </c>
      <c r="L254">
        <v>0</v>
      </c>
      <c r="M254">
        <v>0</v>
      </c>
      <c r="N254">
        <v>0.25</v>
      </c>
      <c r="O254" s="3">
        <v>9.08</v>
      </c>
      <c r="P254" s="4">
        <f t="shared" si="3"/>
        <v>2.27</v>
      </c>
    </row>
    <row r="255" spans="1:16" x14ac:dyDescent="0.3">
      <c r="A255" s="1">
        <v>254</v>
      </c>
      <c r="B255" t="s">
        <v>260</v>
      </c>
      <c r="E255" t="s">
        <v>313</v>
      </c>
      <c r="F255">
        <v>71</v>
      </c>
      <c r="G255">
        <v>71011</v>
      </c>
      <c r="H255" t="s">
        <v>309</v>
      </c>
      <c r="K255">
        <v>28</v>
      </c>
      <c r="L255">
        <v>0</v>
      </c>
      <c r="M255">
        <v>0</v>
      </c>
      <c r="N255">
        <v>28</v>
      </c>
      <c r="O255" s="3">
        <v>0.34</v>
      </c>
      <c r="P255" s="4">
        <f t="shared" si="3"/>
        <v>9.5200000000000014</v>
      </c>
    </row>
    <row r="256" spans="1:16" x14ac:dyDescent="0.3">
      <c r="A256" s="1">
        <v>255</v>
      </c>
      <c r="B256" t="s">
        <v>261</v>
      </c>
      <c r="E256" t="s">
        <v>313</v>
      </c>
      <c r="F256">
        <v>71</v>
      </c>
      <c r="G256">
        <v>71011</v>
      </c>
      <c r="H256" t="s">
        <v>309</v>
      </c>
      <c r="K256">
        <v>163</v>
      </c>
      <c r="L256">
        <v>0</v>
      </c>
      <c r="M256">
        <v>0</v>
      </c>
      <c r="N256">
        <v>163</v>
      </c>
      <c r="O256" s="3">
        <v>0.8</v>
      </c>
      <c r="P256" s="4">
        <f t="shared" si="3"/>
        <v>130.4</v>
      </c>
    </row>
    <row r="257" spans="1:16" x14ac:dyDescent="0.3">
      <c r="A257" s="1">
        <v>256</v>
      </c>
      <c r="B257" t="s">
        <v>262</v>
      </c>
      <c r="E257" t="s">
        <v>313</v>
      </c>
      <c r="F257">
        <v>71</v>
      </c>
      <c r="G257">
        <v>71011</v>
      </c>
      <c r="H257" t="s">
        <v>279</v>
      </c>
      <c r="K257">
        <v>6</v>
      </c>
      <c r="L257">
        <v>0</v>
      </c>
      <c r="M257">
        <v>0</v>
      </c>
      <c r="N257">
        <v>6</v>
      </c>
      <c r="O257" s="3">
        <v>7.28</v>
      </c>
      <c r="P257" s="4">
        <f t="shared" si="3"/>
        <v>43.68</v>
      </c>
    </row>
    <row r="258" spans="1:16" x14ac:dyDescent="0.3">
      <c r="A258" s="1">
        <v>257</v>
      </c>
      <c r="B258" t="s">
        <v>263</v>
      </c>
      <c r="E258" t="s">
        <v>313</v>
      </c>
      <c r="F258">
        <v>71</v>
      </c>
      <c r="G258">
        <v>71011</v>
      </c>
      <c r="H258" t="s">
        <v>279</v>
      </c>
      <c r="K258">
        <v>1</v>
      </c>
      <c r="L258">
        <v>0</v>
      </c>
      <c r="M258">
        <v>0</v>
      </c>
      <c r="N258">
        <v>1</v>
      </c>
      <c r="O258" s="3">
        <v>1.18</v>
      </c>
      <c r="P258" s="4">
        <f t="shared" si="3"/>
        <v>1.18</v>
      </c>
    </row>
    <row r="259" spans="1:16" x14ac:dyDescent="0.3">
      <c r="A259" s="1">
        <v>258</v>
      </c>
      <c r="B259" t="s">
        <v>264</v>
      </c>
      <c r="E259" t="s">
        <v>313</v>
      </c>
      <c r="F259">
        <v>71</v>
      </c>
      <c r="G259">
        <v>71011</v>
      </c>
      <c r="H259" t="s">
        <v>309</v>
      </c>
      <c r="K259">
        <v>12</v>
      </c>
      <c r="L259">
        <v>0</v>
      </c>
      <c r="M259">
        <v>0</v>
      </c>
      <c r="N259">
        <v>12</v>
      </c>
      <c r="O259" s="3">
        <v>0.03</v>
      </c>
      <c r="P259" s="4">
        <f t="shared" ref="P259:P272" si="4">O259*N259</f>
        <v>0.36</v>
      </c>
    </row>
    <row r="260" spans="1:16" x14ac:dyDescent="0.3">
      <c r="A260" s="1">
        <v>259</v>
      </c>
      <c r="B260" t="s">
        <v>265</v>
      </c>
      <c r="E260" t="s">
        <v>313</v>
      </c>
      <c r="F260">
        <v>71</v>
      </c>
      <c r="G260">
        <v>71097</v>
      </c>
      <c r="H260" t="s">
        <v>310</v>
      </c>
      <c r="K260">
        <v>4</v>
      </c>
      <c r="L260">
        <v>0</v>
      </c>
      <c r="M260">
        <v>0</v>
      </c>
      <c r="N260">
        <v>4</v>
      </c>
      <c r="O260" s="3">
        <v>21.85</v>
      </c>
      <c r="P260" s="4">
        <f t="shared" si="4"/>
        <v>87.4</v>
      </c>
    </row>
    <row r="261" spans="1:16" x14ac:dyDescent="0.3">
      <c r="A261" s="1">
        <v>260</v>
      </c>
      <c r="B261" t="s">
        <v>266</v>
      </c>
      <c r="E261" t="s">
        <v>313</v>
      </c>
      <c r="F261">
        <v>72</v>
      </c>
      <c r="G261">
        <v>72003</v>
      </c>
      <c r="H261" t="s">
        <v>279</v>
      </c>
      <c r="K261">
        <v>40</v>
      </c>
      <c r="L261">
        <v>0</v>
      </c>
      <c r="M261">
        <v>0</v>
      </c>
      <c r="N261">
        <v>40</v>
      </c>
      <c r="O261" s="3">
        <v>2.62</v>
      </c>
      <c r="P261" s="4">
        <f t="shared" si="4"/>
        <v>104.80000000000001</v>
      </c>
    </row>
    <row r="262" spans="1:16" x14ac:dyDescent="0.3">
      <c r="A262" s="1">
        <v>261</v>
      </c>
      <c r="B262" t="s">
        <v>267</v>
      </c>
      <c r="E262" t="s">
        <v>313</v>
      </c>
      <c r="F262">
        <v>72</v>
      </c>
      <c r="G262">
        <v>72003</v>
      </c>
      <c r="H262" t="s">
        <v>279</v>
      </c>
      <c r="K262">
        <v>23</v>
      </c>
      <c r="L262">
        <v>0</v>
      </c>
      <c r="M262">
        <v>0</v>
      </c>
      <c r="N262">
        <v>23</v>
      </c>
      <c r="O262" s="3">
        <v>4.4000000000000004</v>
      </c>
      <c r="P262" s="4">
        <f t="shared" si="4"/>
        <v>101.2</v>
      </c>
    </row>
    <row r="263" spans="1:16" x14ac:dyDescent="0.3">
      <c r="A263" s="1">
        <v>262</v>
      </c>
      <c r="B263" t="s">
        <v>268</v>
      </c>
      <c r="E263" t="s">
        <v>313</v>
      </c>
      <c r="F263">
        <v>72</v>
      </c>
      <c r="G263">
        <v>72003</v>
      </c>
      <c r="H263" t="s">
        <v>293</v>
      </c>
      <c r="K263">
        <v>306</v>
      </c>
      <c r="L263">
        <v>0</v>
      </c>
      <c r="M263">
        <v>46</v>
      </c>
      <c r="N263">
        <v>260</v>
      </c>
      <c r="O263" s="3">
        <v>2</v>
      </c>
      <c r="P263" s="4">
        <f t="shared" si="4"/>
        <v>520</v>
      </c>
    </row>
    <row r="264" spans="1:16" x14ac:dyDescent="0.3">
      <c r="A264" s="1">
        <v>263</v>
      </c>
      <c r="B264" t="s">
        <v>269</v>
      </c>
      <c r="E264" t="s">
        <v>313</v>
      </c>
      <c r="F264">
        <v>72</v>
      </c>
      <c r="G264">
        <v>72003</v>
      </c>
      <c r="H264" t="s">
        <v>289</v>
      </c>
      <c r="K264">
        <v>85</v>
      </c>
      <c r="L264">
        <v>0</v>
      </c>
      <c r="M264">
        <v>30</v>
      </c>
      <c r="N264">
        <v>55</v>
      </c>
      <c r="O264" s="3">
        <v>1</v>
      </c>
      <c r="P264" s="4">
        <f t="shared" si="4"/>
        <v>55</v>
      </c>
    </row>
    <row r="265" spans="1:16" x14ac:dyDescent="0.3">
      <c r="A265" s="1">
        <v>264</v>
      </c>
      <c r="B265" t="s">
        <v>270</v>
      </c>
      <c r="E265" t="s">
        <v>313</v>
      </c>
      <c r="F265">
        <v>72</v>
      </c>
      <c r="G265">
        <v>72003</v>
      </c>
      <c r="H265" t="s">
        <v>289</v>
      </c>
      <c r="K265">
        <v>73</v>
      </c>
      <c r="L265">
        <v>0</v>
      </c>
      <c r="M265">
        <v>40</v>
      </c>
      <c r="N265">
        <v>33</v>
      </c>
      <c r="O265" s="3">
        <v>2.15</v>
      </c>
      <c r="P265" s="4">
        <f t="shared" si="4"/>
        <v>70.95</v>
      </c>
    </row>
    <row r="266" spans="1:16" x14ac:dyDescent="0.3">
      <c r="A266" s="1">
        <v>265</v>
      </c>
      <c r="B266" t="s">
        <v>271</v>
      </c>
      <c r="E266" t="s">
        <v>313</v>
      </c>
      <c r="F266">
        <v>72</v>
      </c>
      <c r="G266">
        <v>72003</v>
      </c>
      <c r="H266" t="s">
        <v>311</v>
      </c>
      <c r="K266">
        <v>480</v>
      </c>
      <c r="L266">
        <v>0</v>
      </c>
      <c r="M266">
        <v>160</v>
      </c>
      <c r="N266">
        <v>320</v>
      </c>
      <c r="O266" s="3">
        <v>1</v>
      </c>
      <c r="P266" s="4">
        <f t="shared" si="4"/>
        <v>320</v>
      </c>
    </row>
    <row r="267" spans="1:16" x14ac:dyDescent="0.3">
      <c r="A267" s="1">
        <v>266</v>
      </c>
      <c r="B267" t="s">
        <v>272</v>
      </c>
      <c r="E267" t="s">
        <v>313</v>
      </c>
      <c r="F267">
        <v>72</v>
      </c>
      <c r="G267">
        <v>72003</v>
      </c>
      <c r="H267" t="s">
        <v>279</v>
      </c>
      <c r="K267">
        <v>1</v>
      </c>
      <c r="L267">
        <v>0</v>
      </c>
      <c r="M267">
        <v>0</v>
      </c>
      <c r="N267">
        <v>1</v>
      </c>
      <c r="O267" s="3">
        <v>924</v>
      </c>
      <c r="P267" s="4">
        <f t="shared" si="4"/>
        <v>924</v>
      </c>
    </row>
    <row r="268" spans="1:16" x14ac:dyDescent="0.3">
      <c r="A268" s="1">
        <v>267</v>
      </c>
      <c r="B268" t="s">
        <v>273</v>
      </c>
      <c r="E268" t="s">
        <v>313</v>
      </c>
      <c r="F268">
        <v>72</v>
      </c>
      <c r="G268">
        <v>72003</v>
      </c>
      <c r="H268" t="s">
        <v>279</v>
      </c>
      <c r="K268">
        <v>2</v>
      </c>
      <c r="L268">
        <v>0</v>
      </c>
      <c r="M268">
        <v>0</v>
      </c>
      <c r="N268">
        <v>2</v>
      </c>
      <c r="O268" s="3">
        <v>814</v>
      </c>
      <c r="P268" s="4">
        <f t="shared" si="4"/>
        <v>1628</v>
      </c>
    </row>
    <row r="269" spans="1:16" x14ac:dyDescent="0.3">
      <c r="A269" s="1">
        <v>268</v>
      </c>
      <c r="B269" t="s">
        <v>274</v>
      </c>
      <c r="E269" t="s">
        <v>313</v>
      </c>
      <c r="F269">
        <v>72</v>
      </c>
      <c r="G269">
        <v>72003</v>
      </c>
      <c r="H269" t="s">
        <v>294</v>
      </c>
      <c r="K269">
        <v>5</v>
      </c>
      <c r="L269">
        <v>0</v>
      </c>
      <c r="M269">
        <v>1</v>
      </c>
      <c r="N269">
        <v>4</v>
      </c>
      <c r="O269" s="3">
        <v>29</v>
      </c>
      <c r="P269" s="4">
        <f t="shared" si="4"/>
        <v>116</v>
      </c>
    </row>
    <row r="270" spans="1:16" x14ac:dyDescent="0.3">
      <c r="A270" s="1">
        <v>269</v>
      </c>
      <c r="B270" t="s">
        <v>275</v>
      </c>
      <c r="E270" t="s">
        <v>313</v>
      </c>
      <c r="F270">
        <v>72</v>
      </c>
      <c r="G270">
        <v>72003</v>
      </c>
      <c r="H270" t="s">
        <v>294</v>
      </c>
      <c r="K270">
        <v>25</v>
      </c>
      <c r="L270">
        <v>0</v>
      </c>
      <c r="M270">
        <v>1</v>
      </c>
      <c r="N270">
        <v>24</v>
      </c>
      <c r="O270" s="3">
        <v>29.7</v>
      </c>
      <c r="P270" s="4">
        <f t="shared" si="4"/>
        <v>712.8</v>
      </c>
    </row>
    <row r="271" spans="1:16" x14ac:dyDescent="0.3">
      <c r="A271" s="1">
        <v>270</v>
      </c>
      <c r="B271" t="s">
        <v>276</v>
      </c>
      <c r="E271" t="s">
        <v>313</v>
      </c>
      <c r="F271">
        <v>72</v>
      </c>
      <c r="G271">
        <v>72003</v>
      </c>
      <c r="H271" t="s">
        <v>294</v>
      </c>
      <c r="K271">
        <v>16</v>
      </c>
      <c r="L271">
        <v>0</v>
      </c>
      <c r="M271">
        <v>0</v>
      </c>
      <c r="N271">
        <v>16</v>
      </c>
      <c r="O271" s="3">
        <v>19</v>
      </c>
      <c r="P271" s="4">
        <f t="shared" si="4"/>
        <v>304</v>
      </c>
    </row>
    <row r="272" spans="1:16" x14ac:dyDescent="0.3">
      <c r="A272" s="1">
        <v>271</v>
      </c>
      <c r="B272" t="s">
        <v>302</v>
      </c>
      <c r="E272" t="s">
        <v>313</v>
      </c>
      <c r="F272">
        <v>72</v>
      </c>
      <c r="G272">
        <v>72003</v>
      </c>
      <c r="H272" t="s">
        <v>279</v>
      </c>
      <c r="K272">
        <v>4800</v>
      </c>
      <c r="M272">
        <v>0</v>
      </c>
      <c r="N272">
        <v>4800</v>
      </c>
      <c r="O272" s="3">
        <v>10</v>
      </c>
      <c r="P272" s="4">
        <f t="shared" si="4"/>
        <v>48000</v>
      </c>
    </row>
    <row r="273" spans="11:16" x14ac:dyDescent="0.3">
      <c r="K273" s="5">
        <f>SUM(K2:K272)</f>
        <v>21676.75</v>
      </c>
      <c r="P273" s="4">
        <f>SUM(P2:P272)</f>
        <v>92454.890000000014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Bodega 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Adriana Lopez</dc:creator>
  <cp:lastModifiedBy>Jorge Mariano Paz Flores</cp:lastModifiedBy>
  <dcterms:created xsi:type="dcterms:W3CDTF">2026-01-19T18:13:23Z</dcterms:created>
  <dcterms:modified xsi:type="dcterms:W3CDTF">2026-01-19T21:59:04Z</dcterms:modified>
</cp:coreProperties>
</file>